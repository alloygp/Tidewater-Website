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ick Start" sheetId="1" state="visible" r:id="rId3"/>
    <sheet name="README" sheetId="2" state="visible" r:id="rId4"/>
    <sheet name="Lookups" sheetId="3" state="visible" r:id="rId5"/>
    <sheet name="Page Inventory" sheetId="4" state="visible" r:id="rId6"/>
    <sheet name="Keyword Targets" sheetId="5" state="visible" r:id="rId7"/>
    <sheet name="Technical Health" sheetId="6" state="visible" r:id="rId8"/>
    <sheet name="Internal Linking" sheetId="7" state="visible" r:id="rId9"/>
    <sheet name="Performance" sheetId="8" state="visible" r:id="rId10"/>
    <sheet name="Backlinks" sheetId="9" state="visible" r:id="rId11"/>
    <sheet name="Roadmap" sheetId="10" state="visible" r:id="rId12"/>
  </sheets>
  <definedNames>
    <definedName function="false" hidden="true" localSheetId="8" name="_xlnm._FilterDatabase" vbProcedure="false">Backlinks!$A$1:$I$2</definedName>
    <definedName function="false" hidden="true" localSheetId="6" name="_xlnm._FilterDatabase" vbProcedure="false">'Internal Linking'!$A$1:$E$2</definedName>
    <definedName function="false" hidden="true" localSheetId="4" name="_xlnm._FilterDatabase" vbProcedure="false">'Keyword Targets'!$A$1:$K$2</definedName>
    <definedName function="false" hidden="true" localSheetId="3" name="_xlnm._FilterDatabase" vbProcedure="false">'Page Inventory'!$A$1:$U$2</definedName>
    <definedName function="false" hidden="true" localSheetId="7" name="_xlnm._FilterDatabase" vbProcedure="false">Performance!$A$1:$I$2</definedName>
    <definedName function="false" hidden="true" localSheetId="9" name="_xlnm._FilterDatabase" vbProcedure="false">Roadmap!$A$1:$G$2</definedName>
    <definedName function="false" hidden="true" localSheetId="5" name="_xlnm._FilterDatabase" vbProcedure="false">'Technical Health'!$A$1:$L$2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Tracker</author>
  </authors>
  <commentList>
    <comment ref="E1" authorId="0">
      <text>
        <r>
          <rPr>
            <sz val="10"/>
            <rFont val="Arial"/>
            <family val="2"/>
          </rPr>
          <t xml:space="preserve">Y/N from Google Rich Results Test.</t>
        </r>
      </text>
    </comment>
    <comment ref="G1" authorId="0">
      <text>
        <r>
          <rPr>
            <sz val="10"/>
            <rFont val="Arial"/>
            <family val="2"/>
          </rPr>
          <t xml:space="preserve">Paste LCP in seconds from PageSpeed Insights (mobile).</t>
        </r>
      </text>
    </comment>
    <comment ref="H1" authorId="0">
      <text>
        <r>
          <rPr>
            <sz val="10"/>
            <rFont val="Arial"/>
            <family val="2"/>
          </rPr>
          <t xml:space="preserve">Paste INP in milliseconds — field data only. TBT acceptable proxy from lab data.</t>
        </r>
      </text>
    </comment>
    <comment ref="I1" authorId="0">
      <text>
        <r>
          <rPr>
            <sz val="10"/>
            <rFont val="Arial"/>
            <family val="2"/>
          </rPr>
          <t xml:space="preserve">Paste CLS decimal from PageSpeed Insights (mobile).</t>
        </r>
      </text>
    </comment>
  </commentList>
</comments>
</file>

<file path=xl/sharedStrings.xml><?xml version="1.0" encoding="utf-8"?>
<sst xmlns="http://schemas.openxmlformats.org/spreadsheetml/2006/main" count="2312" uniqueCount="854">
  <si>
    <t xml:space="preserve">Tidewater Property Management — SEO Tracker</t>
  </si>
  <si>
    <t xml:space="preserve">Client: Tidewater Property Management</t>
  </si>
  <si>
    <t xml:space="preserve">Domain: tidewaterproperty.com</t>
  </si>
  <si>
    <t xml:space="preserve">Date Built</t>
  </si>
  <si>
    <t xml:space="preserve">2026-05-16</t>
  </si>
  <si>
    <t xml:space="preserve">GSC Project ID: 9497920</t>
  </si>
  <si>
    <t xml:space="preserve">Country</t>
  </si>
  <si>
    <t xml:space="preserve">United States (us)</t>
  </si>
  <si>
    <t xml:space="preserve">DATA SOURCES USED</t>
  </si>
  <si>
    <t xml:space="preserve">Screaming Frog Crawl</t>
  </si>
  <si>
    <t xml:space="preserve">✅ 40 pages from stg-tidewater.alloygp.co (staging site, noindex active)</t>
  </si>
  <si>
    <t xml:space="preserve">SEO Sitemap v5.1</t>
  </si>
  <si>
    <t xml:space="preserve">✅ 42 pages with proposed titles, metas, keywords, schema</t>
  </si>
  <si>
    <t xml:space="preserve">Ahrefs Keyword Overview</t>
  </si>
  <si>
    <t xml:space="preserve">✅ 10 seed keywords pulled</t>
  </si>
  <si>
    <t xml:space="preserve">Ahrefs Matching Terms</t>
  </si>
  <si>
    <t xml:space="preserve">✅ 80 expanded keywords pulled</t>
  </si>
  <si>
    <t xml:space="preserve">Ahrefs Organic Keywords</t>
  </si>
  <si>
    <t xml:space="preserve">✅ 84 current rankings (old WordPress site structure)</t>
  </si>
  <si>
    <t xml:space="preserve">Ahrefs Referring Domains</t>
  </si>
  <si>
    <t xml:space="preserve">✅ 200 referring domains with spam classification</t>
  </si>
  <si>
    <t xml:space="preserve">Ahrefs Internal Links</t>
  </si>
  <si>
    <t xml:space="preserve">✅ Top 100 pages by internal links in</t>
  </si>
  <si>
    <t xml:space="preserve">GSC Keywords</t>
  </si>
  <si>
    <t xml:space="preserve">✅ 100 top keywords (last 30 days, project 9497920)</t>
  </si>
  <si>
    <t xml:space="preserve">GSC Pages</t>
  </si>
  <si>
    <t xml:space="preserve">✅ 100 top pages (last 30 days)</t>
  </si>
  <si>
    <t xml:space="preserve">PageSpeed / CWV</t>
  </si>
  <si>
    <t xml:space="preserve">⚠️ Manual pass needed — columns G/H/I in Technical Health</t>
  </si>
  <si>
    <t xml:space="preserve">CRITICAL FINDING</t>
  </si>
  <si>
    <t xml:space="preserve">⚠️ All Ahrefs organic rankings + GSC clicks belong to OLD WordPress site (URLs like /service-area/anne-arundel-county-md/). New Astro site has different URL structure (/hoa-management/maryland/anne-arundel-county/). Redirect map is P0 — equity must be preserved at launch.</t>
  </si>
  <si>
    <t xml:space="preserve">SITE OVERVIEW</t>
  </si>
  <si>
    <t xml:space="preserve">Pages Cataloged</t>
  </si>
  <si>
    <t xml:space="preserve">40 (26 Live, 14 Not started)</t>
  </si>
  <si>
    <t xml:space="preserve">Top GSC Keyword</t>
  </si>
  <si>
    <t xml:space="preserve">tidewater property management — 1,390 clicks, pos 1.0</t>
  </si>
  <si>
    <t xml:space="preserve">Total GSC Clicks (30d)</t>
  </si>
  <si>
    <t xml:space="preserve">~2,700 clicks</t>
  </si>
  <si>
    <t xml:space="preserve">Domain Rating</t>
  </si>
  <si>
    <t xml:space="preserve">~10 (tidewaterproperty.com)</t>
  </si>
  <si>
    <t xml:space="preserve">Referring Domains</t>
  </si>
  <si>
    <t xml:space="preserve">200 analyzed — ~40 PBN/spam flagged for disavow</t>
  </si>
  <si>
    <t xml:space="preserve">Best Organic Rank</t>
  </si>
  <si>
    <t xml:space="preserve">#1 — tidewater property management (branded)</t>
  </si>
  <si>
    <t xml:space="preserve">Biggest Opportunity</t>
  </si>
  <si>
    <t xml:space="preserve">hoa management services — vol 1,900, KD 1 (new page needed)</t>
  </si>
  <si>
    <t xml:space="preserve">Quorum post</t>
  </si>
  <si>
    <t xml:space="preserve">5,682 impressions, 0 clicks, pos 13.7 — title optimization P1</t>
  </si>
  <si>
    <t xml:space="preserve">CWV NOTE</t>
  </si>
  <si>
    <t xml:space="preserve">Run PageSpeed Insights on top 10 priority URLs and enter LCP/INP/CLS in Technical Health columns G/H/I. Staging site currently returns noindex — test after production launch.</t>
  </si>
  <si>
    <t xml:space="preserve">Tab 9 — Roadmap</t>
  </si>
  <si>
    <t xml:space="preserve">Prioritized SEO tasks with owners, due dates, overdue formatting.</t>
  </si>
  <si>
    <t xml:space="preserve">Tab 10 — Lookups</t>
  </si>
  <si>
    <t xml:space="preserve">Dropdown source lists driving validations across the workbook.</t>
  </si>
  <si>
    <t xml:space="preserve">Data Sources To Pull</t>
  </si>
  <si>
    <t xml:space="preserve">Source</t>
  </si>
  <si>
    <t xml:space="preserve">What to pull</t>
  </si>
  <si>
    <t xml:space="preserve">Populates</t>
  </si>
  <si>
    <t xml:space="preserve">Live crawl (sitemap.xml)</t>
  </si>
  <si>
    <t xml:space="preserve">title, meta, H1, canonical, OG, schema, robots, indexability</t>
  </si>
  <si>
    <t xml:space="preserve">Page Inventory + Technical Health</t>
  </si>
  <si>
    <t xml:space="preserve">Ahrefs site-explorer-organic-keywords</t>
  </si>
  <si>
    <t xml:space="preserve">Top 100 by traffic</t>
  </si>
  <si>
    <t xml:space="preserve">Keyword Targets (existing rankings)</t>
  </si>
  <si>
    <t xml:space="preserve">Ahrefs site-explorer-pages-by-internal-links</t>
  </si>
  <si>
    <t xml:space="preserve">Top 100 internal link counts</t>
  </si>
  <si>
    <t xml:space="preserve">Page Inventory col T + Technical Health col J</t>
  </si>
  <si>
    <t xml:space="preserve">Ahrefs site-explorer-referring-domains</t>
  </si>
  <si>
    <t xml:space="preserve">Top 100 by DR with is_spam flag</t>
  </si>
  <si>
    <t xml:space="preserve">Backlinks tab</t>
  </si>
  <si>
    <t xml:space="preserve">Ahrefs keywords-explorer-overview + matching-terms</t>
  </si>
  <si>
    <t xml:space="preserve">Seed keywords + cluster expansion</t>
  </si>
  <si>
    <t xml:space="preserve">Keyword Targets</t>
  </si>
  <si>
    <t xml:space="preserve">Ahrefs gsc-pages + gsc-performance-history</t>
  </si>
  <si>
    <t xml:space="preserve">Last 30 days + 10 weeks of trend</t>
  </si>
  <si>
    <t xml:space="preserve">Performance tab</t>
  </si>
  <si>
    <t xml:space="preserve">PageSpeed Insights (manual)</t>
  </si>
  <si>
    <t xml:space="preserve">LCP / INP / CLS for top 10 priority URLs</t>
  </si>
  <si>
    <t xml:space="preserve">Technical Health columns G/H/I</t>
  </si>
  <si>
    <t xml:space="preserve">Manual audit</t>
  </si>
  <si>
    <t xml:space="preserve">Findings → prioritized tasks</t>
  </si>
  <si>
    <t xml:space="preserve">Roadmap</t>
  </si>
  <si>
    <t xml:space="preserve">README — How to use this tracker</t>
  </si>
  <si>
    <t xml:space="preserve">Purpose</t>
  </si>
  <si>
    <t xml:space="preserve">Single source of truth for client SEO. Re-run the monthly snapshot to refresh data. Roadmap and Owner columns persist across snapshots — don't overwrite them when refreshing data.</t>
  </si>
  <si>
    <t xml:space="preserve">Conventions</t>
  </si>
  <si>
    <t xml:space="preserve">• Title/Meta length cells use LEN formulas. Don't paste over the formulas — only edit the source text.
• Color bands: green = healthy, amber = needs attention, red = fix this.
• Dropdowns: Status, Priority, Intent, Owner all read from the Lookups tab.
• Dates: ISO format YYYY-MM-DD. Overdue rows on Roadmap turn red automatically.
• Done rows on Roadmap auto-tint light green.</t>
  </si>
  <si>
    <t xml:space="preserve">Owner Roles</t>
  </si>
  <si>
    <t xml:space="preserve">SEO Lead — owns Keyword Targets, Performance, Roadmap prioritization.
Content — owns Page Inventory titles/meta/H1 changes, blog/resource pages.
Tech — owns schema, canonicals, robots, redirects, Core Web Vitals, sitemap hygiene.
Design — owns OG images, on-page visual hierarchy, accessibility.</t>
  </si>
  <si>
    <t xml:space="preserve">Monthly refresh checklist</t>
  </si>
  <si>
    <t xml:space="preserve">1. Re-crawl sitemap and update Page Inventory.
2. Re-pull Ahrefs organic-keywords, top-pages, referring-domains.
3. Re-pull GSC pages/keywords for the last 30 days.
4. Run PageSpeed Insights on top 10 pages and paste LCP/INP/CLS into Tab 5.
5. Reconcile completed Roadmap items, add new ones from new findings.</t>
  </si>
  <si>
    <t xml:space="preserve">Definitions</t>
  </si>
  <si>
    <t xml:space="preserve">Opportunity Score = Volume * (101 - KD) / 100. Higher = easier wins.
CWV thresholds: LCP green ≤2.5s, amber 2.5–4s, red &gt;4s | INP green ≤200ms, amber 200–500ms, red &gt;500ms | CLS green ≤0.1, amber 0.1–0.25, red &gt;0.25.
Title sweet spot: 50–60 chars. Meta sweet spot: 120–155 chars.</t>
  </si>
  <si>
    <t xml:space="preserve">Lookup Lists — drives dropdowns across the workbook</t>
  </si>
  <si>
    <t xml:space="preserve">Status</t>
  </si>
  <si>
    <t xml:space="preserve">Intent</t>
  </si>
  <si>
    <t xml:space="preserve">Priority</t>
  </si>
  <si>
    <t xml:space="preserve">Roadmap Status</t>
  </si>
  <si>
    <t xml:space="preserve">Owner</t>
  </si>
  <si>
    <t xml:space="preserve">Page Type</t>
  </si>
  <si>
    <t xml:space="preserve">Schema Type</t>
  </si>
  <si>
    <t xml:space="preserve">Draft</t>
  </si>
  <si>
    <t xml:space="preserve">Informational</t>
  </si>
  <si>
    <t xml:space="preserve">P0 — Critical</t>
  </si>
  <si>
    <t xml:space="preserve">Not Started</t>
  </si>
  <si>
    <t xml:space="preserve">SEO Lead</t>
  </si>
  <si>
    <t xml:space="preserve">Homepage</t>
  </si>
  <si>
    <t xml:space="preserve">ProfessionalService</t>
  </si>
  <si>
    <t xml:space="preserve">Live</t>
  </si>
  <si>
    <t xml:space="preserve">Commercial</t>
  </si>
  <si>
    <t xml:space="preserve">P1 — High</t>
  </si>
  <si>
    <t xml:space="preserve">In Progress</t>
  </si>
  <si>
    <t xml:space="preserve">Content</t>
  </si>
  <si>
    <t xml:space="preserve">Service Hub</t>
  </si>
  <si>
    <t xml:space="preserve">Organization</t>
  </si>
  <si>
    <t xml:space="preserve">Needs Update</t>
  </si>
  <si>
    <t xml:space="preserve">Transactional</t>
  </si>
  <si>
    <t xml:space="preserve">P2 — Medium</t>
  </si>
  <si>
    <t xml:space="preserve">Blocked</t>
  </si>
  <si>
    <t xml:space="preserve">Tech</t>
  </si>
  <si>
    <t xml:space="preserve">Service Page</t>
  </si>
  <si>
    <t xml:space="preserve">Article</t>
  </si>
  <si>
    <t xml:space="preserve">Redirect</t>
  </si>
  <si>
    <t xml:space="preserve">Navigational</t>
  </si>
  <si>
    <t xml:space="preserve">P3 — Low</t>
  </si>
  <si>
    <t xml:space="preserve">Done</t>
  </si>
  <si>
    <t xml:space="preserve">Design</t>
  </si>
  <si>
    <t xml:space="preserve">Methodology</t>
  </si>
  <si>
    <t xml:space="preserve">FAQPage</t>
  </si>
  <si>
    <t xml:space="preserve">Noindex</t>
  </si>
  <si>
    <t xml:space="preserve">Local</t>
  </si>
  <si>
    <t xml:space="preserve">Leadership</t>
  </si>
  <si>
    <t xml:space="preserve">Product Page</t>
  </si>
  <si>
    <t xml:space="preserve">BreadcrumbList</t>
  </si>
  <si>
    <t xml:space="preserve">Archived</t>
  </si>
  <si>
    <t xml:space="preserve">Case Study</t>
  </si>
  <si>
    <t xml:space="preserve">Course</t>
  </si>
  <si>
    <t xml:space="preserve">404</t>
  </si>
  <si>
    <t xml:space="preserve">Case Studies Index</t>
  </si>
  <si>
    <t xml:space="preserve">WebPage</t>
  </si>
  <si>
    <t xml:space="preserve">About</t>
  </si>
  <si>
    <t xml:space="preserve">Person</t>
  </si>
  <si>
    <t xml:space="preserve">Conversion</t>
  </si>
  <si>
    <t xml:space="preserve">Service</t>
  </si>
  <si>
    <t xml:space="preserve">FAQ</t>
  </si>
  <si>
    <t xml:space="preserve">CollectionPage</t>
  </si>
  <si>
    <t xml:space="preserve">Resource</t>
  </si>
  <si>
    <t xml:space="preserve">ImageObject</t>
  </si>
  <si>
    <t xml:space="preserve">Tool</t>
  </si>
  <si>
    <t xml:space="preserve">Legal</t>
  </si>
  <si>
    <t xml:space="preserve">Other</t>
  </si>
  <si>
    <t xml:space="preserve">URL</t>
  </si>
  <si>
    <t xml:space="preserve">Page Title (≤60)</t>
  </si>
  <si>
    <t xml:space="preserve">Title Length</t>
  </si>
  <si>
    <t xml:space="preserve">Meta Description (≤155)</t>
  </si>
  <si>
    <t xml:space="preserve">Meta Length</t>
  </si>
  <si>
    <t xml:space="preserve">H1</t>
  </si>
  <si>
    <t xml:space="preserve">H1 Length</t>
  </si>
  <si>
    <t xml:space="preserve">Primary Keyword</t>
  </si>
  <si>
    <t xml:space="preserve">Search Intent</t>
  </si>
  <si>
    <t xml:space="preserve">Secondary Keywords</t>
  </si>
  <si>
    <t xml:space="preserve">Canonical URL</t>
  </si>
  <si>
    <t xml:space="preserve">OG Image URL</t>
  </si>
  <si>
    <t xml:space="preserve">Last Reviewed</t>
  </si>
  <si>
    <t xml:space="preserve">Indexable (Y/N)</t>
  </si>
  <si>
    <t xml:space="preserve">Robots Tag</t>
  </si>
  <si>
    <t xml:space="preserve">Internal Links In</t>
  </si>
  <si>
    <t xml:space="preserve">Notes</t>
  </si>
  <si>
    <t xml:space="preserve">https://tidewaterproperty.com</t>
  </si>
  <si>
    <t xml:space="preserve">Core</t>
  </si>
  <si>
    <t xml:space="preserve">Tidewater Property Management | Maryland HOA &amp; Rental Management</t>
  </si>
  <si>
    <t xml:space="preserve">AAMC-accredited HOA management company serving 450+ Maryland communities since 1989. HOA boards and rental owners — request a proposal today.</t>
  </si>
  <si>
    <t xml:space="preserve">Hands-On Management for the Mid-Atlantic.</t>
  </si>
  <si>
    <t xml:space="preserve">tidewater property management</t>
  </si>
  <si>
    <t xml:space="preserve">maryland property management, property management companies in maryland, hoa management maryland</t>
  </si>
  <si>
    <t xml:space="preserve">https://www.tidewaterproperty.com/</t>
  </si>
  <si>
    <t xml:space="preserve">LocalBusiness, Organization, AggregateRating</t>
  </si>
  <si>
    <t xml:space="preserve">N</t>
  </si>
  <si>
    <t xml:space="preserve">noindex (staging)</t>
  </si>
  <si>
    <t xml:space="preserve">https://tidewaterproperty.com/about</t>
  </si>
  <si>
    <t xml:space="preserve">About Tidewater | AAMC-Accredited HOA Management Since 1989</t>
  </si>
  <si>
    <t xml:space="preserve">Professional tidewater property management company from Tidewater Property Management — AAMC-accredited, family-owned, serving Maryland and the Mid-Atlantic since 1989. Request a proposal.</t>
  </si>
  <si>
    <t xml:space="preserve">Family-owned in the Mid-Atlantic since 1989.</t>
  </si>
  <si>
    <t xml:space="preserve">tidewater property management company</t>
  </si>
  <si>
    <t xml:space="preserve">https://www.tidewaterproperty.com/about/</t>
  </si>
  <si>
    <t xml:space="preserve">AboutPage, Organization</t>
  </si>
  <si>
    <t xml:space="preserve">https://tidewaterproperty.com/faq</t>
  </si>
  <si>
    <t xml:space="preserve">FAQ Hub | Tidewater Property Management</t>
  </si>
  <si>
    <t xml:space="preserve">Common questions about HOA and property management answered by Tidewater — AAMC-accredited management firm serving Maryland communities since 1989.</t>
  </si>
  <si>
    <t xml:space="preserve">Tidewater answered.</t>
  </si>
  <si>
    <t xml:space="preserve">hoa management company faq</t>
  </si>
  <si>
    <t xml:space="preserve">https://www.tidewaterproperty.com/faq/</t>
  </si>
  <si>
    <t xml:space="preserve">Not started</t>
  </si>
  <si>
    <t xml:space="preserve">https://tidewaterproperty.com/contact</t>
  </si>
  <si>
    <t xml:space="preserve">Contact Tidewater Property Management | Request a Proposal</t>
  </si>
  <si>
    <t xml:space="preserve">Reach Tidewater by phone, email, or form. Request a proposal.</t>
  </si>
  <si>
    <t xml:space="preserve">Let's talk.</t>
  </si>
  <si>
    <t xml:space="preserve">contact tidewater property management</t>
  </si>
  <si>
    <t xml:space="preserve">https://www.tidewaterproperty.com/contact/</t>
  </si>
  <si>
    <t xml:space="preserve">ContactPage, LocalBusiness</t>
  </si>
  <si>
    <t xml:space="preserve">https://tidewaterproperty.com/hoa-management</t>
  </si>
  <si>
    <t xml:space="preserve">HOA Management Services | Tidewater Property Management</t>
  </si>
  <si>
    <t xml:space="preserve">Professional HOA management from Tidewater — Maryland's most trusted community association management firm since 1989. Request a proposal.</t>
  </si>
  <si>
    <t xml:space="preserve">HOA Management Built for Maryland Boards.</t>
  </si>
  <si>
    <t xml:space="preserve">hoa management services</t>
  </si>
  <si>
    <t xml:space="preserve">hoa management company, community association management, hoa management maryland</t>
  </si>
  <si>
    <t xml:space="preserve">https://www.tidewaterproperty.com/hoa-management/</t>
  </si>
  <si>
    <t xml:space="preserve">Service, LocalBusiness</t>
  </si>
  <si>
    <t xml:space="preserve">https://tidewaterproperty.com/hoa-management/condo-association</t>
  </si>
  <si>
    <t xml:space="preserve">Condo Association Management | Tidewater Property Management</t>
  </si>
  <si>
    <t xml:space="preserve">Expert condo association management from Tidewater — Maryland's AAMC-accredited firm serving 450+ communities. Reserve studies, compliance, financials, and 24/7 emergency support.</t>
  </si>
  <si>
    <t xml:space="preserve">Condo Association Management Built on Accountability.</t>
  </si>
  <si>
    <t xml:space="preserve">condo association management</t>
  </si>
  <si>
    <t xml:space="preserve">condominium association management, condo hoa management</t>
  </si>
  <si>
    <t xml:space="preserve">https://www.tidewaterproperty.com/hoa-management/condo-association/</t>
  </si>
  <si>
    <t xml:space="preserve">https://tidewaterproperty.com/hoa-management/self-managed-hoa-transition</t>
  </si>
  <si>
    <t xml:space="preserve">Self-Managed HOA Transition | Switch to Tidewater</t>
  </si>
  <si>
    <t xml:space="preserve">Moving from self-managed to professional HOA management? Learn what changes, how to evaluate firms, and what to expect in your first 90 days with Tidewater.</t>
  </si>
  <si>
    <t xml:space="preserve">You're not failing — you're scaling.</t>
  </si>
  <si>
    <t xml:space="preserve">self managed hoa transition</t>
  </si>
  <si>
    <t xml:space="preserve">switching hoa management companies, hoa management company change</t>
  </si>
  <si>
    <t xml:space="preserve">https://www.tidewaterproperty.com/solutions/self-managed-hoa-transition/</t>
  </si>
  <si>
    <t xml:space="preserve">Service, HowTo</t>
  </si>
  <si>
    <t xml:space="preserve">https://tidewaterproperty.com/hoa-management/financial-management</t>
  </si>
  <si>
    <t xml:space="preserve">HOA Financial Management | Budgeting, Collections &amp; Reporting</t>
  </si>
  <si>
    <t xml:space="preserve">HOA financial management services from Tidewater — budgeting, assessments, collections, and transparent reporting for Maryland community associations.</t>
  </si>
  <si>
    <t xml:space="preserve">HOA Financial Management You Can Audit at Any Time.</t>
  </si>
  <si>
    <t xml:space="preserve">hoa financial management</t>
  </si>
  <si>
    <t xml:space="preserve">hoa accounting services, community association financial management</t>
  </si>
  <si>
    <t xml:space="preserve">https://www.tidewaterproperty.com/hoa-management/financial-management/</t>
  </si>
  <si>
    <t xml:space="preserve">https://tidewaterproperty.com/hoa-management/compliance-enforcement</t>
  </si>
  <si>
    <t xml:space="preserve">HOA Compliance &amp; Covenant Enforcement | Tidewater</t>
  </si>
  <si>
    <t xml:space="preserve">Consistent, defensible HOA covenant enforcement from Tidewater — rules applied equally, violations documented, and escalation handled professionally across Maryland communities.</t>
  </si>
  <si>
    <t xml:space="preserve">Rules Applied Equally. Every Time.</t>
  </si>
  <si>
    <t xml:space="preserve">hoa covenant enforcement</t>
  </si>
  <si>
    <t xml:space="preserve">hoa compliance enforcement, hoa violation management</t>
  </si>
  <si>
    <t xml:space="preserve">https://www.tidewaterproperty.com/hoa-management/compliance-enforcement/</t>
  </si>
  <si>
    <t xml:space="preserve">https://tidewaterproperty.com/hoa-management/board-support</t>
  </si>
  <si>
    <t xml:space="preserve">HOA Board Support &amp; Governance Services | Tidewater</t>
  </si>
  <si>
    <t xml:space="preserve">HOA board support from Tidewater — meeting facilitation, Robert's Rules guidance, board training, election management, and governance documentation for Maryland communities.</t>
  </si>
  <si>
    <t xml:space="preserve">The Board Still Decides. We Handle the Admin.</t>
  </si>
  <si>
    <t xml:space="preserve">hoa board support</t>
  </si>
  <si>
    <t xml:space="preserve">hoa governance services, hoa meeting management</t>
  </si>
  <si>
    <t xml:space="preserve">https://www.tidewaterproperty.com/hoa-management/board-support/</t>
  </si>
  <si>
    <t xml:space="preserve">https://tidewaterproperty.com/rental-management</t>
  </si>
  <si>
    <t xml:space="preserve">Rental Property Management Maryland | Tidewater</t>
  </si>
  <si>
    <t xml:space="preserve">Professional rental property management across Maryland, Delaware, and Pennsylvania. Tenant placement, rent collection, maintenance coordination, and 24/7 emergency response.</t>
  </si>
  <si>
    <t xml:space="preserve">Rental Management Without the Landlord Headaches.</t>
  </si>
  <si>
    <t xml:space="preserve">rental property management maryland</t>
  </si>
  <si>
    <t xml:space="preserve">property management maryland, rental management company, landlord services maryland</t>
  </si>
  <si>
    <t xml:space="preserve">https://www.tidewaterproperty.com/rentals/</t>
  </si>
  <si>
    <t xml:space="preserve">https://tidewaterproperty.com/rental-management/tenant-screening</t>
  </si>
  <si>
    <t xml:space="preserve">Tenant Screening Services | Tidewater Property Management</t>
  </si>
  <si>
    <t xml:space="preserve">Comprehensive tenant screening from Tidewater — background checks, credit history, employment verification, and rental history for Maryland rental properties.</t>
  </si>
  <si>
    <t xml:space="preserve">Every Applicant Screened Like It's Our Property.</t>
  </si>
  <si>
    <t xml:space="preserve">tenant screening services</t>
  </si>
  <si>
    <t xml:space="preserve">rental background checks, tenant background check</t>
  </si>
  <si>
    <t xml:space="preserve">https://www.tidewaterproperty.com/tenant-screening/</t>
  </si>
  <si>
    <t xml:space="preserve">https://tidewaterproperty.com/rental-management/rent-collection</t>
  </si>
  <si>
    <t xml:space="preserve">Rent Collection Services | Tidewater Property Management</t>
  </si>
  <si>
    <t xml:space="preserve">Automated rent collection, late fee enforcement, and delinquency management for Maryland rental property owners — handled by Tidewater's experienced rental team.</t>
  </si>
  <si>
    <t xml:space="preserve">On-Time Rent. Every Month.</t>
  </si>
  <si>
    <t xml:space="preserve">rent collection services</t>
  </si>
  <si>
    <t xml:space="preserve">rental property rent collection, property management rent collection</t>
  </si>
  <si>
    <t xml:space="preserve">https://www.tidewaterproperty.com/rent-collection/</t>
  </si>
  <si>
    <t xml:space="preserve">https://tidewaterproperty.com/rental-management/maintenance</t>
  </si>
  <si>
    <t xml:space="preserve">Rental Property Maintenance | 24/7 Emergency Repairs | Tidewater</t>
  </si>
  <si>
    <t xml:space="preserve">24/7 rental property maintenance coordination from Tidewater — in-house technicians, vetted contractors, and same-day emergency response across Maryland.</t>
  </si>
  <si>
    <t xml:space="preserve">Maintenance Requests Handled Without Calling You First.</t>
  </si>
  <si>
    <t xml:space="preserve">rental property maintenance</t>
  </si>
  <si>
    <t xml:space="preserve">property maintenance company, 24 hour property repair</t>
  </si>
  <si>
    <t xml:space="preserve">https://www.tidewaterproperty.com/maintenance/rentals/</t>
  </si>
  <si>
    <t xml:space="preserve">https://tidewaterproperty.com/solutions/switch-management-companies</t>
  </si>
  <si>
    <t xml:space="preserve">Solution</t>
  </si>
  <si>
    <t xml:space="preserve">How to Switch HOA Management Companies | Tidewater Guide</t>
  </si>
  <si>
    <t xml:space="preserve">Thinking about switching HOA management companies? Tidewater's transition team handles the handoff — contracts, records, vendor relationships, and board communications.</t>
  </si>
  <si>
    <t xml:space="preserve">The Transition Is Easier Than You Think.</t>
  </si>
  <si>
    <t xml:space="preserve">switching hoa management companies</t>
  </si>
  <si>
    <t xml:space="preserve">how to change hoa management company, hoa management company change process</t>
  </si>
  <si>
    <t xml:space="preserve">https://www.tidewaterproperty.com/solutions/switch-management-companies/</t>
  </si>
  <si>
    <t xml:space="preserve">Article, HowTo</t>
  </si>
  <si>
    <t xml:space="preserve">https://tidewaterproperty.com/solutions/first-time-hoa-board</t>
  </si>
  <si>
    <t xml:space="preserve">First-Time HOA Board Member Guide | Tidewater</t>
  </si>
  <si>
    <t xml:space="preserve">New to the HOA board? Tidewater's guide walks first-time board members through fiduciary duties, meeting procedures, budget basics, and how to work with your management company.</t>
  </si>
  <si>
    <t xml:space="preserve">New to the Board? Here's What You Actually Need to Know.</t>
  </si>
  <si>
    <t xml:space="preserve">first time hoa board member</t>
  </si>
  <si>
    <t xml:space="preserve">hoa board member responsibilities, new hoa board member guide</t>
  </si>
  <si>
    <t xml:space="preserve">https://www.tidewaterproperty.com/solutions/first-time-hoa-board/</t>
  </si>
  <si>
    <t xml:space="preserve">https://tidewaterproperty.com/hoa-management/maryland</t>
  </si>
  <si>
    <t xml:space="preserve">State Hub</t>
  </si>
  <si>
    <t xml:space="preserve">HOA Management Companies in Maryland | Tidewater</t>
  </si>
  <si>
    <t xml:space="preserve">Maryland's leading HOA management firm — Tidewater serves 450+ communities across Anne Arundel, Baltimore, Howard, Montgomery, Prince George's, and every other Maryland county.</t>
  </si>
  <si>
    <t xml:space="preserve">Maryland's Most Trusted HOA Management Company.</t>
  </si>
  <si>
    <t xml:space="preserve">hoa management companies maryland</t>
  </si>
  <si>
    <t xml:space="preserve">hoa management maryland, community association management maryland, property management maryland</t>
  </si>
  <si>
    <t xml:space="preserve">https://www.tidewaterproperty.com/hoa-management/maryland/</t>
  </si>
  <si>
    <t xml:space="preserve">https://tidewaterproperty.com/hoa-management/maryland/anne-arundel-county</t>
  </si>
  <si>
    <t xml:space="preserve">Location</t>
  </si>
  <si>
    <t xml:space="preserve">HOA Management Anne Arundel County MD | Tidewater</t>
  </si>
  <si>
    <t xml:space="preserve">Tidewater manages HOA and condo communities throughout Anne Arundel County, MD — from Annapolis to Glen Burnie to Severna Park. AAMC-accredited since 1989.</t>
  </si>
  <si>
    <t xml:space="preserve">HOA Management for Anne Arundel County Communities.</t>
  </si>
  <si>
    <t xml:space="preserve">hoa management anne arundel county</t>
  </si>
  <si>
    <t xml:space="preserve">property management anne arundel county, community association management anne arundel</t>
  </si>
  <si>
    <t xml:space="preserve">https://www.tidewaterproperty.com/service-area/anne-arundel-county-md/</t>
  </si>
  <si>
    <t xml:space="preserve">https://tidewaterproperty.com/hoa-management/maryland/baltimore-county</t>
  </si>
  <si>
    <t xml:space="preserve">HOA Management Baltimore County MD | Tidewater</t>
  </si>
  <si>
    <t xml:space="preserve">Tidewater manages HOA and condo communities throughout Baltimore County — Towson, Owings Mills, Timonium, Pikesville, and beyond. AAMC-accredited community management.</t>
  </si>
  <si>
    <t xml:space="preserve">HOA Management for Baltimore County Communities.</t>
  </si>
  <si>
    <t xml:space="preserve">hoa management baltimore county</t>
  </si>
  <si>
    <t xml:space="preserve">property management baltimore county, community association management baltimore</t>
  </si>
  <si>
    <t xml:space="preserve">https://www.tidewaterproperty.com/service-area/baltimore-county-md/</t>
  </si>
  <si>
    <t xml:space="preserve">https://tidewaterproperty.com/hoa-management/maryland/howard-county</t>
  </si>
  <si>
    <t xml:space="preserve">HOA Management Howard County MD | Tidewater</t>
  </si>
  <si>
    <t xml:space="preserve">Tidewater manages HOA and condo communities in Howard County MD — Columbia, Ellicott City, Clarksville, and surrounding communities. Request a proposal today.</t>
  </si>
  <si>
    <t xml:space="preserve">HOA Management for Howard County Communities.</t>
  </si>
  <si>
    <t xml:space="preserve">hoa management howard county</t>
  </si>
  <si>
    <t xml:space="preserve">property management howard county, community association management howard county</t>
  </si>
  <si>
    <t xml:space="preserve">https://www.tidewaterproperty.com/service-area/howard-county-md/</t>
  </si>
  <si>
    <t xml:space="preserve">https://tidewaterproperty.com/hoa-management/maryland/montgomery-county</t>
  </si>
  <si>
    <t xml:space="preserve">HOA Management Montgomery County MD | Tidewater</t>
  </si>
  <si>
    <t xml:space="preserve">Tidewater manages HOA and condo communities in Montgomery County MD — Rockville, Bethesda, Gaithersburg, Silver Spring, and beyond.</t>
  </si>
  <si>
    <t xml:space="preserve">HOA Management for Montgomery County Communities.</t>
  </si>
  <si>
    <t xml:space="preserve">hoa management montgomery county</t>
  </si>
  <si>
    <t xml:space="preserve">property management montgomery county, community association management montgomery county</t>
  </si>
  <si>
    <t xml:space="preserve">https://www.tidewaterproperty.com/service-area/montgomery-county-md/</t>
  </si>
  <si>
    <t xml:space="preserve">https://tidewaterproperty.com/hoa-management/maryland/prince-georges-county</t>
  </si>
  <si>
    <t xml:space="preserve">HOA Management Prince George's County MD | Tidewater</t>
  </si>
  <si>
    <t xml:space="preserve">Tidewater manages HOA and condo communities in Prince George's County MD — Bowie, College Park, Laurel, and surrounding areas. AAMC-accredited community management.</t>
  </si>
  <si>
    <t xml:space="preserve">HOA Management for Prince George's County Communities.</t>
  </si>
  <si>
    <t xml:space="preserve">hoa management prince georges county</t>
  </si>
  <si>
    <t xml:space="preserve">property management prince georges county md, community association management pgc</t>
  </si>
  <si>
    <t xml:space="preserve">https://www.tidewaterproperty.com/service-area/prince-georges-county-md/</t>
  </si>
  <si>
    <t xml:space="preserve">https://tidewaterproperty.com/hoa-management/delaware</t>
  </si>
  <si>
    <t xml:space="preserve">HOA Management Delaware | Tidewater Property Management</t>
  </si>
  <si>
    <t xml:space="preserve">Tidewater manages HOA and condo communities across Delaware — Lewes, Rehoboth, Dover, Seaford, Georgetown, and the Delaware beaches. AAMC-accredited since 1989.</t>
  </si>
  <si>
    <t xml:space="preserve">HOA Management for Delaware Communities.</t>
  </si>
  <si>
    <t xml:space="preserve">hoa management delaware</t>
  </si>
  <si>
    <t xml:space="preserve">property management delaware, community association management delaware</t>
  </si>
  <si>
    <t xml:space="preserve">https://www.tidewaterproperty.com/hoa-management/delaware/</t>
  </si>
  <si>
    <t xml:space="preserve">https://tidewaterproperty.com/hoa-management/delaware/sussex-county</t>
  </si>
  <si>
    <t xml:space="preserve">HOA Management Sussex County DE | Tidewater</t>
  </si>
  <si>
    <t xml:space="preserve">Tidewater manages HOA and condo communities in Sussex County DE — Lewes, Rehoboth Beach, Bethany Beach, Millsboro, and surrounding coastal communities.</t>
  </si>
  <si>
    <t xml:space="preserve">HOA Management for Sussex County Communities.</t>
  </si>
  <si>
    <t xml:space="preserve">hoa management sussex county de</t>
  </si>
  <si>
    <t xml:space="preserve">property management sussex county de, lewes de hoa management</t>
  </si>
  <si>
    <t xml:space="preserve">https://www.tidewaterproperty.com/hoa-management/delaware/sussex-county/</t>
  </si>
  <si>
    <t xml:space="preserve">https://tidewaterproperty.com/resources/blog</t>
  </si>
  <si>
    <t xml:space="preserve">Resource Hub</t>
  </si>
  <si>
    <t xml:space="preserve">HOA &amp; Property Management Blog | Tidewater</t>
  </si>
  <si>
    <t xml:space="preserve">Expert articles on HOA management, rental property management, and community association best practices from Tidewater's team of Maryland management professionals.</t>
  </si>
  <si>
    <t xml:space="preserve">Insights from Tidewater's Management Team.</t>
  </si>
  <si>
    <t xml:space="preserve">hoa management blog</t>
  </si>
  <si>
    <t xml:space="preserve">property management tips, community association management articles</t>
  </si>
  <si>
    <t xml:space="preserve">https://www.tidewaterproperty.com/blog/</t>
  </si>
  <si>
    <t xml:space="preserve">Blog, WebPage</t>
  </si>
  <si>
    <t xml:space="preserve">https://tidewaterproperty.com/resources/blog/community-managers-vs-property-managers</t>
  </si>
  <si>
    <t xml:space="preserve">Blog Post</t>
  </si>
  <si>
    <t xml:space="preserve">Community Manager vs Property Manager: What's the Difference?</t>
  </si>
  <si>
    <t xml:space="preserve">Community managers and property managers have different roles, responsibilities, and training. Tidewater explains the distinction and when each type is the right fit.</t>
  </si>
  <si>
    <t xml:space="preserve">Community Manager vs. Property Manager — The Real Difference.</t>
  </si>
  <si>
    <t xml:space="preserve">community manager vs property manager</t>
  </si>
  <si>
    <t xml:space="preserve">community association manager vs property manager, cam vs property manager</t>
  </si>
  <si>
    <t xml:space="preserve">https://www.tidewaterproperty.com/blog/community-managers-vs-property-managers/</t>
  </si>
  <si>
    <t xml:space="preserve">Article, BlogPosting</t>
  </si>
  <si>
    <t xml:space="preserve">https://tidewaterproperty.com/resources/blog/what-is-quorum</t>
  </si>
  <si>
    <t xml:space="preserve">What Is a Quorum? Why It Matters for Your HOA Meeting</t>
  </si>
  <si>
    <t xml:space="preserve">A quorum is the minimum number of members needed to conduct official HOA business. Learn how quorum requirements work and why missing it can derail your board meeting.</t>
  </si>
  <si>
    <t xml:space="preserve">Without a Quorum, Nothing Gets Done.</t>
  </si>
  <si>
    <t xml:space="preserve">what is quorum</t>
  </si>
  <si>
    <t xml:space="preserve">hoa quorum requirements, quorum for hoa meeting</t>
  </si>
  <si>
    <t xml:space="preserve">https://www.tidewaterproperty.com/blog/what-is-quorum-and-why-is-it-important/</t>
  </si>
  <si>
    <t xml:space="preserve">https://tidewaterproperty.com/resources/cinc-portal</t>
  </si>
  <si>
    <t xml:space="preserve">CINC Portal Guide for Tidewater Residents &amp; Board Members</t>
  </si>
  <si>
    <t xml:space="preserve">Access the CINC resident portal — pay dues, submit maintenance requests, view documents, and manage your HOA account online.</t>
  </si>
  <si>
    <t xml:space="preserve">Your Community, Online.</t>
  </si>
  <si>
    <t xml:space="preserve">cinc community portal</t>
  </si>
  <si>
    <t xml:space="preserve">cinc hoa, tidewater cinc login, cinc community association management</t>
  </si>
  <si>
    <t xml:space="preserve">https://www.tidewaterproperty.com/cinc-faq/</t>
  </si>
  <si>
    <t xml:space="preserve">WebPage, FAQPage</t>
  </si>
  <si>
    <t xml:space="preserve">https://tidewaterproperty.com/proposal</t>
  </si>
  <si>
    <t xml:space="preserve">Request a Management Proposal | Tidewater Property Management</t>
  </si>
  <si>
    <t xml:space="preserve">Request a management proposal from Tidewater — Maryland's AAMC-accredited HOA and rental property management company. No commitment required.</t>
  </si>
  <si>
    <t xml:space="preserve">Let's Build a Proposal for Your Community.</t>
  </si>
  <si>
    <t xml:space="preserve">hoa management proposal</t>
  </si>
  <si>
    <t xml:space="preserve">request property management proposal, hoa management company proposal</t>
  </si>
  <si>
    <t xml:space="preserve">https://www.tidewaterproperty.com/proposal/</t>
  </si>
  <si>
    <t xml:space="preserve">ContactPage</t>
  </si>
  <si>
    <t xml:space="preserve">https://tidewaterproperty.com/careers</t>
  </si>
  <si>
    <t xml:space="preserve">Careers at Tidewater Property Management | Join Our Team</t>
  </si>
  <si>
    <t xml:space="preserve">Tidewater is hiring community managers, property managers, maintenance technicians, and administrative staff across Maryland and Delaware.</t>
  </si>
  <si>
    <t xml:space="preserve">Build Your Career at Tidewater.</t>
  </si>
  <si>
    <t xml:space="preserve">property management careers maryland</t>
  </si>
  <si>
    <t xml:space="preserve">community association manager jobs, hoa management jobs maryland</t>
  </si>
  <si>
    <t xml:space="preserve">https://www.tidewaterproperty.com/careers/</t>
  </si>
  <si>
    <t xml:space="preserve">JobPosting, WebPage</t>
  </si>
  <si>
    <t xml:space="preserve">https://tidewaterproperty.com/hoa-management/maryland/carroll-county</t>
  </si>
  <si>
    <t xml:space="preserve">HOA Management Carroll County MD | Tidewater</t>
  </si>
  <si>
    <t xml:space="preserve">Tidewater manages HOA and condo communities in Carroll County MD — Westminster, Eldersburg, Sykesville, and surrounding areas.</t>
  </si>
  <si>
    <t xml:space="preserve">HOA Management for Carroll County Communities.</t>
  </si>
  <si>
    <t xml:space="preserve">hoa management carroll county</t>
  </si>
  <si>
    <t xml:space="preserve">property management carroll county md, community association management carroll county</t>
  </si>
  <si>
    <t xml:space="preserve">https://www.tidewaterproperty.com/service-area/carroll-county-md/</t>
  </si>
  <si>
    <t xml:space="preserve">https://tidewaterproperty.com/hoa-management/maryland/harford-county</t>
  </si>
  <si>
    <t xml:space="preserve">HOA Management Harford County MD | Tidewater</t>
  </si>
  <si>
    <t xml:space="preserve">Tidewater manages HOA and condo communities in Harford County MD — Bel Air, Aberdeen, Havre de Grace, and surrounding communities. Request a proposal.</t>
  </si>
  <si>
    <t xml:space="preserve">HOA Management for Harford County Communities.</t>
  </si>
  <si>
    <t xml:space="preserve">hoa management harford county</t>
  </si>
  <si>
    <t xml:space="preserve">property management harford county, community association management harford county</t>
  </si>
  <si>
    <t xml:space="preserve">https://www.tidewaterproperty.com/service-area/harford-county-md/</t>
  </si>
  <si>
    <t xml:space="preserve">https://tidewaterproperty.com/hoa-management/maryland/ocean-city</t>
  </si>
  <si>
    <t xml:space="preserve">HOA Management Ocean City MD | Tidewater</t>
  </si>
  <si>
    <t xml:space="preserve">Tidewater manages HOA and condo associations in Ocean City, MD — coastal community expertise, on-site presence, and 24/7 emergency response.</t>
  </si>
  <si>
    <t xml:space="preserve">HOA Management for Ocean City Communities.</t>
  </si>
  <si>
    <t xml:space="preserve">hoa management ocean city md</t>
  </si>
  <si>
    <t xml:space="preserve">property management ocean city md, condo association management ocean city</t>
  </si>
  <si>
    <t xml:space="preserve">https://www.tidewaterproperty.com/service-area/ocean-city-md/</t>
  </si>
  <si>
    <t xml:space="preserve">https://tidewaterproperty.com/hoa-management/delaware/lewes</t>
  </si>
  <si>
    <t xml:space="preserve">HOA Management Lewes DE | Tidewater Property Management</t>
  </si>
  <si>
    <t xml:space="preserve">Tidewater manages HOA and condo associations in Lewes, DE — local expertise for coastal Delaware communities, AAMC-accredited management since 1989.</t>
  </si>
  <si>
    <t xml:space="preserve">HOA Management for Lewes Communities.</t>
  </si>
  <si>
    <t xml:space="preserve">hoa management lewes de</t>
  </si>
  <si>
    <t xml:space="preserve">property management lewes de, community association management lewes delaware</t>
  </si>
  <si>
    <t xml:space="preserve">https://www.tidewaterproperty.com/service-area/lewes-de/</t>
  </si>
  <si>
    <t xml:space="preserve">https://tidewaterproperty.com/hoa-management/delaware/rehoboth-beach</t>
  </si>
  <si>
    <t xml:space="preserve">HOA Management Rehoboth Beach DE | Tidewater</t>
  </si>
  <si>
    <t xml:space="preserve">Tidewater manages HOA and condo communities in Rehoboth Beach, DE — seasonal and year-round community management for coastal Delaware associations.</t>
  </si>
  <si>
    <t xml:space="preserve">HOA Management for Rehoboth Beach Communities.</t>
  </si>
  <si>
    <t xml:space="preserve">hoa management rehoboth beach</t>
  </si>
  <si>
    <t xml:space="preserve">property management rehoboth beach de, condo management rehoboth beach</t>
  </si>
  <si>
    <t xml:space="preserve">https://www.tidewaterproperty.com/hoa-management/delaware/rehoboth-beach/</t>
  </si>
  <si>
    <t xml:space="preserve">https://tidewaterproperty.com/hoa-management/pennsylvania</t>
  </si>
  <si>
    <t xml:space="preserve">HOA Management Pennsylvania | Tidewater Property Management</t>
  </si>
  <si>
    <t xml:space="preserve">Tidewater manages HOA and condo communities across southern Pennsylvania — York, Lancaster, Hanover, and the PA communities adjacent to Maryland.</t>
  </si>
  <si>
    <t xml:space="preserve">HOA Management for Pennsylvania Communities.</t>
  </si>
  <si>
    <t xml:space="preserve">hoa management pennsylvania</t>
  </si>
  <si>
    <t xml:space="preserve">property management pennsylvania, community association management pa</t>
  </si>
  <si>
    <t xml:space="preserve">https://www.tidewaterproperty.com/hoa-management/pennsylvania/</t>
  </si>
  <si>
    <t xml:space="preserve">https://tidewaterproperty.com/hoa-management/pennsylvania/york-county</t>
  </si>
  <si>
    <t xml:space="preserve">HOA Management York County PA | Tidewater</t>
  </si>
  <si>
    <t xml:space="preserve">Tidewater manages HOA and condo communities in York County PA — York, Hanover, and surrounding communities. AAMC-accredited management with Maryland roots.</t>
  </si>
  <si>
    <t xml:space="preserve">HOA Management for York County Communities.</t>
  </si>
  <si>
    <t xml:space="preserve">hoa management york county pa</t>
  </si>
  <si>
    <t xml:space="preserve">property management york pa, community association management york county</t>
  </si>
  <si>
    <t xml:space="preserve">https://www.tidewaterproperty.com/service-area/york-pa/</t>
  </si>
  <si>
    <t xml:space="preserve">https://tidewaterproperty.com/testimonials</t>
  </si>
  <si>
    <t xml:space="preserve">Tidewater Reviews &amp; Testimonials | HOA Board &amp; Owner Stories</t>
  </si>
  <si>
    <t xml:space="preserve">What HOA boards and rental property owners say about working with Tidewater — real testimonials from Maryland and Delaware communities.</t>
  </si>
  <si>
    <t xml:space="preserve">What Our Clients Say.</t>
  </si>
  <si>
    <t xml:space="preserve">tidewater property management reviews</t>
  </si>
  <si>
    <t xml:space="preserve">hoa management company reviews, tidewater testimonials</t>
  </si>
  <si>
    <t xml:space="preserve">https://www.tidewaterproperty.com/testimonials/</t>
  </si>
  <si>
    <t xml:space="preserve">WebPage, AggregateRating</t>
  </si>
  <si>
    <t xml:space="preserve">https://tidewaterproperty.com/press</t>
  </si>
  <si>
    <t xml:space="preserve">Press &amp; News | Tidewater Property Management</t>
  </si>
  <si>
    <t xml:space="preserve">Press releases, awards, and news from Tidewater Property Management — Maryland's AAMC-accredited community management firm.</t>
  </si>
  <si>
    <t xml:space="preserve">Tidewater in the News.</t>
  </si>
  <si>
    <t xml:space="preserve">tidewater property management news</t>
  </si>
  <si>
    <t xml:space="preserve">https://www.tidewaterproperty.com/press-releases/</t>
  </si>
  <si>
    <t xml:space="preserve">WebPage, NewsArticle</t>
  </si>
  <si>
    <t xml:space="preserve">https://tidewaterproperty.com/hoa-management/maryland/annapolis</t>
  </si>
  <si>
    <t xml:space="preserve">HOA Management Annapolis MD | Tidewater Property Management</t>
  </si>
  <si>
    <t xml:space="preserve">Tidewater manages HOA and condo communities in Annapolis, MD — waterfront and inland associations, AAMC-accredited management since 1989.</t>
  </si>
  <si>
    <t xml:space="preserve">HOA Management for Annapolis Communities.</t>
  </si>
  <si>
    <t xml:space="preserve">hoa management annapolis md</t>
  </si>
  <si>
    <t xml:space="preserve">property management annapolis md, community association management annapolis</t>
  </si>
  <si>
    <t xml:space="preserve">https://www.tidewaterproperty.com/service-area/annapolis-md/</t>
  </si>
  <si>
    <t xml:space="preserve">https://tidewaterproperty.com/hoa-management/maryland/columbia</t>
  </si>
  <si>
    <t xml:space="preserve">HOA Management Columbia MD | Tidewater Property Management</t>
  </si>
  <si>
    <t xml:space="preserve">Tidewater manages HOA and condo communities in Columbia, MD — one of Maryland's largest planned communities. AAMC-accredited management since 1989.</t>
  </si>
  <si>
    <t xml:space="preserve">HOA Management for Columbia Communities.</t>
  </si>
  <si>
    <t xml:space="preserve">hoa management columbia md</t>
  </si>
  <si>
    <t xml:space="preserve">property management columbia md, community association management columbia md</t>
  </si>
  <si>
    <t xml:space="preserve">https://www.tidewaterproperty.com/service-area/columbia-md/</t>
  </si>
  <si>
    <t xml:space="preserve">Keyword</t>
  </si>
  <si>
    <t xml:space="preserve">Volume</t>
  </si>
  <si>
    <t xml:space="preserve">KD</t>
  </si>
  <si>
    <t xml:space="preserve">Current Rank</t>
  </si>
  <si>
    <t xml:space="preserve">Target Rank</t>
  </si>
  <si>
    <t xml:space="preserve">Target Page URL</t>
  </si>
  <si>
    <t xml:space="preserve">Opportunity Score</t>
  </si>
  <si>
    <t xml:space="preserve">SERP Features</t>
  </si>
  <si>
    <t xml:space="preserve">local_pack, question, discussion</t>
  </si>
  <si>
    <t xml:space="preserve">community association management</t>
  </si>
  <si>
    <t xml:space="preserve">local_pack, question, sitelink</t>
  </si>
  <si>
    <t xml:space="preserve">hoa management company</t>
  </si>
  <si>
    <t xml:space="preserve">paid_top, local_pack, question</t>
  </si>
  <si>
    <t xml:space="preserve">sitelink, knowledge_panel</t>
  </si>
  <si>
    <t xml:space="preserve">ai_overview, question, discussion</t>
  </si>
  <si>
    <t xml:space="preserve">community management company</t>
  </si>
  <si>
    <t xml:space="preserve">local_pack, question</t>
  </si>
  <si>
    <t xml:space="preserve">property management maryland</t>
  </si>
  <si>
    <t xml:space="preserve">local_pack, news</t>
  </si>
  <si>
    <t xml:space="preserve">community association management services</t>
  </si>
  <si>
    <t xml:space="preserve">local_pack, sitelink, question</t>
  </si>
  <si>
    <t xml:space="preserve">hoa management company near me</t>
  </si>
  <si>
    <t xml:space="preserve">best property management companies in maryland</t>
  </si>
  <si>
    <t xml:space="preserve">property management companies maryland</t>
  </si>
  <si>
    <t xml:space="preserve">maryland property management</t>
  </si>
  <si>
    <t xml:space="preserve">property management companies in maryland</t>
  </si>
  <si>
    <t xml:space="preserve">local_pack, question, news</t>
  </si>
  <si>
    <t xml:space="preserve">community association management near me</t>
  </si>
  <si>
    <t xml:space="preserve">local_pack, sitelink</t>
  </si>
  <si>
    <t xml:space="preserve">management company for hoa</t>
  </si>
  <si>
    <t xml:space="preserve">hoa management company responsibilities</t>
  </si>
  <si>
    <t xml:space="preserve">question, news, discussion</t>
  </si>
  <si>
    <t xml:space="preserve">what does an hoa management company do</t>
  </si>
  <si>
    <t xml:space="preserve">question, sitelink</t>
  </si>
  <si>
    <t xml:space="preserve">best hoa management company</t>
  </si>
  <si>
    <t xml:space="preserve">how to change hoa management company</t>
  </si>
  <si>
    <t xml:space="preserve">question, discussion</t>
  </si>
  <si>
    <t xml:space="preserve">how to file complaint against hoa management company</t>
  </si>
  <si>
    <t xml:space="preserve">question, discussion, sitelink</t>
  </si>
  <si>
    <t xml:space="preserve">community association management companies</t>
  </si>
  <si>
    <t xml:space="preserve">local_pack</t>
  </si>
  <si>
    <t xml:space="preserve">community association management companies near me</t>
  </si>
  <si>
    <t xml:space="preserve">property management company maryland</t>
  </si>
  <si>
    <t xml:space="preserve">property management companies in baltimore maryland</t>
  </si>
  <si>
    <t xml:space="preserve">commercial property management companies in maryland</t>
  </si>
  <si>
    <t xml:space="preserve">paid_top, ai_overview, local_pack</t>
  </si>
  <si>
    <t xml:space="preserve">property management in maryland</t>
  </si>
  <si>
    <t xml:space="preserve">community association management maryland</t>
  </si>
  <si>
    <t xml:space="preserve">ocean city maryland property management</t>
  </si>
  <si>
    <t xml:space="preserve">what is community association management</t>
  </si>
  <si>
    <t xml:space="preserve">does an hoa need a management company</t>
  </si>
  <si>
    <t xml:space="preserve">question, discussion, news</t>
  </si>
  <si>
    <t xml:space="preserve">property management anne arundel county</t>
  </si>
  <si>
    <t xml:space="preserve">property management companies anne arundel county</t>
  </si>
  <si>
    <t xml:space="preserve">property management baltimore county</t>
  </si>
  <si>
    <t xml:space="preserve">property management columbia md</t>
  </si>
  <si>
    <t xml:space="preserve">property management montgomery county</t>
  </si>
  <si>
    <t xml:space="preserve">property management harford county</t>
  </si>
  <si>
    <t xml:space="preserve">harford county property management</t>
  </si>
  <si>
    <t xml:space="preserve">ocean city property management</t>
  </si>
  <si>
    <t xml:space="preserve">local_pack, image_th, sitelink</t>
  </si>
  <si>
    <t xml:space="preserve">property management silver spring md</t>
  </si>
  <si>
    <t xml:space="preserve">local_pack, discussion</t>
  </si>
  <si>
    <t xml:space="preserve">property management companies in howard county maryland</t>
  </si>
  <si>
    <t xml:space="preserve">hoa management near me</t>
  </si>
  <si>
    <t xml:space="preserve">hoa resale package</t>
  </si>
  <si>
    <t xml:space="preserve">cinc community association management</t>
  </si>
  <si>
    <t xml:space="preserve">sitelink</t>
  </si>
  <si>
    <t xml:space="preserve">quorum hoa meeting</t>
  </si>
  <si>
    <t xml:space="preserve">question, sitelink, image</t>
  </si>
  <si>
    <t xml:space="preserve">property management hanover pa</t>
  </si>
  <si>
    <t xml:space="preserve">lease negotiation services</t>
  </si>
  <si>
    <t xml:space="preserve">question</t>
  </si>
  <si>
    <t xml:space="preserve">Indexable</t>
  </si>
  <si>
    <t xml:space="preserve">Robots</t>
  </si>
  <si>
    <t xml:space="preserve">Schema Valid</t>
  </si>
  <si>
    <t xml:space="preserve">Mobile-Friendly</t>
  </si>
  <si>
    <t xml:space="preserve">LCP (s)</t>
  </si>
  <si>
    <t xml:space="preserve">INP (ms)</t>
  </si>
  <si>
    <t xml:space="preserve">CLS</t>
  </si>
  <si>
    <t xml:space="preserve">Last Crawl</t>
  </si>
  <si>
    <t xml:space="preserve">Y</t>
  </si>
  <si>
    <t xml:space="preserve">TBD</t>
  </si>
  <si>
    <t xml:space="preserve">N/A (not built)</t>
  </si>
  <si>
    <t xml:space="preserve">Page not built yet — phase 1/2 content</t>
  </si>
  <si>
    <t xml:space="preserve">Source URL</t>
  </si>
  <si>
    <t xml:space="preserve">Target URL</t>
  </si>
  <si>
    <t xml:space="preserve">Anchor Text</t>
  </si>
  <si>
    <t xml:space="preserve">Context</t>
  </si>
  <si>
    <t xml:space="preserve">Date Added</t>
  </si>
  <si>
    <t xml:space="preserve">Clicks</t>
  </si>
  <si>
    <t xml:space="preserve">Impressions</t>
  </si>
  <si>
    <t xml:space="preserve">CTR</t>
  </si>
  <si>
    <t xml:space="preserve">Avg Position</t>
  </si>
  <si>
    <t xml:space="preserve">Data: 2026-04-15 to 2026-05-15 (GSC project 9497920)</t>
  </si>
  <si>
    <t xml:space="preserve">Conversions</t>
  </si>
  <si>
    <t xml:space="preserve">Conv Rate</t>
  </si>
  <si>
    <t xml:space="preserve">Trend (last 30 days)</t>
  </si>
  <si>
    <t xml:space="preserve">https://www.tidewaterproperty.com/?utm_source=google&amp;utm_medium=organic&amp;utm_campaign=GMBListing-Owings-Mills-MD</t>
  </si>
  <si>
    <t xml:space="preserve">https://www.tidewaterproperty.com/?utm_source=google&amp;utm_medium=organic&amp;utm_campaign=GMBListing-Lewes-DE</t>
  </si>
  <si>
    <t xml:space="preserve">https://www.tidewaterproperty.com/service-area/owings-mills-md/</t>
  </si>
  <si>
    <t xml:space="preserve">https://www.tidewaterproperty.com/tidewater-property-management/</t>
  </si>
  <si>
    <t xml:space="preserve">https://www.tidewaterproperty.com/wp-content/uploads/2022/12/SenEarthCo-Login-Instructions.pdf</t>
  </si>
  <si>
    <t xml:space="preserve">https://www.tidewaterproperty.com/propertyservices/</t>
  </si>
  <si>
    <t xml:space="preserve">https://www.tidewaterproperty.com/commercial-property-management/</t>
  </si>
  <si>
    <t xml:space="preserve">https://www.tidewaterproperty.com/featured-listings/</t>
  </si>
  <si>
    <t xml:space="preserve">https://www.tidewaterproperty.com/service-area/elkton-md/</t>
  </si>
  <si>
    <t xml:space="preserve">https://www.tidewaterproperty.com/service-area/baltimore-md/</t>
  </si>
  <si>
    <t xml:space="preserve">https://www.tidewaterproperty.com/service-area/westminster-md/</t>
  </si>
  <si>
    <t xml:space="preserve">https://www.tidewaterproperty.com/service-area/silver-spring-md/</t>
  </si>
  <si>
    <t xml:space="preserve">https://www.tidewaterproperty.com/overdue-rent-collection/</t>
  </si>
  <si>
    <t xml:space="preserve">https://www.tidewaterproperty.com/maintenance/</t>
  </si>
  <si>
    <t xml:space="preserve">https://www.tidewaterproperty.com/blog/how-to-find-tenants/</t>
  </si>
  <si>
    <t xml:space="preserve">https://www.tidewaterproperty.com/condo-association-management/</t>
  </si>
  <si>
    <t xml:space="preserve">Referring Domain</t>
  </si>
  <si>
    <t xml:space="preserve">Anchor</t>
  </si>
  <si>
    <t xml:space="preserve">DR</t>
  </si>
  <si>
    <t xml:space="preserve">Link Type</t>
  </si>
  <si>
    <t xml:space="preserve">Date Acquired</t>
  </si>
  <si>
    <t xml:space="preserve">Disavow?</t>
  </si>
  <si>
    <t xml:space="preserve">Ahrefs is_spam</t>
  </si>
  <si>
    <t xml:space="preserve">squarespace.com</t>
  </si>
  <si>
    <t xml:space="preserve">tidewaterproperty.com</t>
  </si>
  <si>
    <t xml:space="preserve">editorial</t>
  </si>
  <si>
    <t xml:space="preserve">NO</t>
  </si>
  <si>
    <t xml:space="preserve">blogspot.com</t>
  </si>
  <si>
    <t xml:space="preserve">directory</t>
  </si>
  <si>
    <t xml:space="preserve">amazonaws.com</t>
  </si>
  <si>
    <t xml:space="preserve">yahoo.com</t>
  </si>
  <si>
    <t xml:space="preserve">bbb.org</t>
  </si>
  <si>
    <t xml:space="preserve">indeed.com</t>
  </si>
  <si>
    <t xml:space="preserve">bizjournals.com</t>
  </si>
  <si>
    <t xml:space="preserve">provenexpert.com</t>
  </si>
  <si>
    <t xml:space="preserve">aol.com</t>
  </si>
  <si>
    <t xml:space="preserve">redfin.com</t>
  </si>
  <si>
    <t xml:space="preserve">crunchbase.com</t>
  </si>
  <si>
    <t xml:space="preserve">appfolio.com</t>
  </si>
  <si>
    <t xml:space="preserve">za.com</t>
  </si>
  <si>
    <t xml:space="preserve">dnb.com</t>
  </si>
  <si>
    <t xml:space="preserve">yellowpages.com</t>
  </si>
  <si>
    <t xml:space="preserve">ow.ly</t>
  </si>
  <si>
    <t xml:space="preserve">expertise.com</t>
  </si>
  <si>
    <t xml:space="preserve">compass.com</t>
  </si>
  <si>
    <t xml:space="preserve">porch.com</t>
  </si>
  <si>
    <t xml:space="preserve">birdeye.com</t>
  </si>
  <si>
    <t xml:space="preserve">superpages.com</t>
  </si>
  <si>
    <t xml:space="preserve">itxoft.com</t>
  </si>
  <si>
    <t xml:space="preserve">PBN/spam</t>
  </si>
  <si>
    <t xml:space="preserve">YES</t>
  </si>
  <si>
    <t xml:space="preserve">reference.com</t>
  </si>
  <si>
    <t xml:space="preserve">chamberofcommerce.com</t>
  </si>
  <si>
    <t xml:space="preserve">apollo.io</t>
  </si>
  <si>
    <t xml:space="preserve">clubexpress.com</t>
  </si>
  <si>
    <t xml:space="preserve">hunter.io</t>
  </si>
  <si>
    <t xml:space="preserve">glueup.com</t>
  </si>
  <si>
    <t xml:space="preserve">cincwebaxis.com</t>
  </si>
  <si>
    <t xml:space="preserve">buybacklinks.agency</t>
  </si>
  <si>
    <t xml:space="preserve">dexknows.com</t>
  </si>
  <si>
    <t xml:space="preserve">caionline.org</t>
  </si>
  <si>
    <t xml:space="preserve">chambermaster.com</t>
  </si>
  <si>
    <t xml:space="preserve">datanyze.com</t>
  </si>
  <si>
    <t xml:space="preserve">kompass.com</t>
  </si>
  <si>
    <t xml:space="preserve">rently.com</t>
  </si>
  <si>
    <t xml:space="preserve">rocketreach.co</t>
  </si>
  <si>
    <t xml:space="preserve">appbrain.com</t>
  </si>
  <si>
    <t xml:space="preserve">find-us-here.com</t>
  </si>
  <si>
    <t xml:space="preserve">activerain.com</t>
  </si>
  <si>
    <t xml:space="preserve">swkong.com</t>
  </si>
  <si>
    <t xml:space="preserve">rankyour.website</t>
  </si>
  <si>
    <t xml:space="preserve">contactout.com</t>
  </si>
  <si>
    <t xml:space="preserve">ipropertymanagement.com</t>
  </si>
  <si>
    <t xml:space="preserve">rank-top.click</t>
  </si>
  <si>
    <t xml:space="preserve">askmap.net</t>
  </si>
  <si>
    <t xml:space="preserve">gmx.com</t>
  </si>
  <si>
    <t xml:space="preserve">seoexpress.org</t>
  </si>
  <si>
    <t xml:space="preserve">runcloud.link</t>
  </si>
  <si>
    <t xml:space="preserve">crayon.co</t>
  </si>
  <si>
    <t xml:space="preserve">folkd.com</t>
  </si>
  <si>
    <t xml:space="preserve">factmags.com</t>
  </si>
  <si>
    <t xml:space="preserve">viesearch.com</t>
  </si>
  <si>
    <t xml:space="preserve">kudzu.com</t>
  </si>
  <si>
    <t xml:space="preserve">yp.com</t>
  </si>
  <si>
    <t xml:space="preserve">aeroleads.com</t>
  </si>
  <si>
    <t xml:space="preserve">brandfetch.com</t>
  </si>
  <si>
    <t xml:space="preserve">pissedconsumer.com</t>
  </si>
  <si>
    <t xml:space="preserve">enlyft.com</t>
  </si>
  <si>
    <t xml:space="preserve">neustarlocaleze.biz</t>
  </si>
  <si>
    <t xml:space="preserve">signalhire.com</t>
  </si>
  <si>
    <t xml:space="preserve">nucamp.co</t>
  </si>
  <si>
    <t xml:space="preserve">siteprice.org</t>
  </si>
  <si>
    <t xml:space="preserve">instantcheckmate.com</t>
  </si>
  <si>
    <t xml:space="preserve">leadiq.com</t>
  </si>
  <si>
    <t xml:space="preserve">wiza.co</t>
  </si>
  <si>
    <t xml:space="preserve">trueen.com</t>
  </si>
  <si>
    <t xml:space="preserve">athomenet.com</t>
  </si>
  <si>
    <t xml:space="preserve">bizhwy.com</t>
  </si>
  <si>
    <t xml:space="preserve">peekyou.com</t>
  </si>
  <si>
    <t xml:space="preserve">prospeo.io</t>
  </si>
  <si>
    <t xml:space="preserve">mcjobboard.net</t>
  </si>
  <si>
    <t xml:space="preserve">techdirectory.io</t>
  </si>
  <si>
    <t xml:space="preserve">sitelike.org</t>
  </si>
  <si>
    <t xml:space="preserve">propertymanagement.com</t>
  </si>
  <si>
    <t xml:space="preserve">prospect.io</t>
  </si>
  <si>
    <t xml:space="preserve">growjo.com</t>
  </si>
  <si>
    <t xml:space="preserve">iformative.com</t>
  </si>
  <si>
    <t xml:space="preserve">hoamanagement.com</t>
  </si>
  <si>
    <t xml:space="preserve">best-seo-domains.com</t>
  </si>
  <si>
    <t xml:space="preserve">eventbank.com</t>
  </si>
  <si>
    <t xml:space="preserve">heavenarticle.com</t>
  </si>
  <si>
    <t xml:space="preserve">similarsites.com</t>
  </si>
  <si>
    <t xml:space="preserve">sellhouse-asis.com</t>
  </si>
  <si>
    <t xml:space="preserve">backlinker.shop</t>
  </si>
  <si>
    <t xml:space="preserve">wayranks.com</t>
  </si>
  <si>
    <t xml:space="preserve">beststartup.us</t>
  </si>
  <si>
    <t xml:space="preserve">besthelptips.com</t>
  </si>
  <si>
    <t xml:space="preserve">intently.co</t>
  </si>
  <si>
    <t xml:space="preserve">weon.website</t>
  </si>
  <si>
    <t xml:space="preserve">kingranks.com</t>
  </si>
  <si>
    <t xml:space="preserve">companiesthatbuyhouses.co</t>
  </si>
  <si>
    <t xml:space="preserve">zappenin.com</t>
  </si>
  <si>
    <t xml:space="preserve">toptohigh.com</t>
  </si>
  <si>
    <t xml:space="preserve">distanthorizon.com</t>
  </si>
  <si>
    <t xml:space="preserve">postlets.com</t>
  </si>
  <si>
    <t xml:space="preserve">geebo.com</t>
  </si>
  <si>
    <t xml:space="preserve">erealestatepro.com</t>
  </si>
  <si>
    <t xml:space="preserve">cortera.com</t>
  </si>
  <si>
    <t xml:space="preserve">realestatesmarter.com</t>
  </si>
  <si>
    <t xml:space="preserve">prismmoney.com</t>
  </si>
  <si>
    <t xml:space="preserve">japaneseclass.jp</t>
  </si>
  <si>
    <t xml:space="preserve">foundersuite.com</t>
  </si>
  <si>
    <t xml:space="preserve">oceancity.org</t>
  </si>
  <si>
    <t xml:space="preserve">datafox.com</t>
  </si>
  <si>
    <t xml:space="preserve">keycrew.co</t>
  </si>
  <si>
    <t xml:space="preserve">eurekster.com</t>
  </si>
  <si>
    <t xml:space="preserve">marylandbuilders.org</t>
  </si>
  <si>
    <t xml:space="preserve">prlog.ru</t>
  </si>
  <si>
    <t xml:space="preserve">site-stats.org</t>
  </si>
  <si>
    <t xml:space="preserve">keywordsuggest.org</t>
  </si>
  <si>
    <t xml:space="preserve">usdirectory.com</t>
  </si>
  <si>
    <t xml:space="preserve">statvoo.com</t>
  </si>
  <si>
    <t xml:space="preserve">dwellsy.com</t>
  </si>
  <si>
    <t xml:space="preserve">inprise.com</t>
  </si>
  <si>
    <t xml:space="preserve">quero.party</t>
  </si>
  <si>
    <t xml:space="preserve">seoflox.io</t>
  </si>
  <si>
    <t xml:space="preserve">inven.ai</t>
  </si>
  <si>
    <t xml:space="preserve">drjack.world</t>
  </si>
  <si>
    <t xml:space="preserve">jigsaw.com</t>
  </si>
  <si>
    <t xml:space="preserve">exlinko.org</t>
  </si>
  <si>
    <t xml:space="preserve">bye.fyi</t>
  </si>
  <si>
    <t xml:space="preserve">seolium.com</t>
  </si>
  <si>
    <t xml:space="preserve">fastbase.com</t>
  </si>
  <si>
    <t xml:space="preserve">io-bas.bg</t>
  </si>
  <si>
    <t xml:space="preserve">montgomeryvillage.com</t>
  </si>
  <si>
    <t xml:space="preserve">luke.lol</t>
  </si>
  <si>
    <t xml:space="preserve">linkrankpro.shop</t>
  </si>
  <si>
    <t xml:space="preserve">us-business.info</t>
  </si>
  <si>
    <t xml:space="preserve">topmillion.net</t>
  </si>
  <si>
    <t xml:space="preserve">sport-life.club</t>
  </si>
  <si>
    <t xml:space="preserve">bigsmalllife.com</t>
  </si>
  <si>
    <t xml:space="preserve">sjmfoundation.com</t>
  </si>
  <si>
    <t xml:space="preserve">websitescrawl.com</t>
  </si>
  <si>
    <t xml:space="preserve">restnova.com</t>
  </si>
  <si>
    <t xml:space="preserve">rankva.com</t>
  </si>
  <si>
    <t xml:space="preserve">bigyellow.com</t>
  </si>
  <si>
    <t xml:space="preserve">justuseapp.com</t>
  </si>
  <si>
    <t xml:space="preserve">dltech.forum</t>
  </si>
  <si>
    <t xml:space="preserve">creativeposts.top</t>
  </si>
  <si>
    <t xml:space="preserve">purple-elephant.us</t>
  </si>
  <si>
    <t xml:space="preserve">accessgrantedsystems.com</t>
  </si>
  <si>
    <t xml:space="preserve">housebuyers.app</t>
  </si>
  <si>
    <t xml:space="preserve">bethany-fenwick.org</t>
  </si>
  <si>
    <t xml:space="preserve">jobsearcher.com</t>
  </si>
  <si>
    <t xml:space="preserve">atomizelink.icu</t>
  </si>
  <si>
    <t xml:space="preserve">blogsphere.top</t>
  </si>
  <si>
    <t xml:space="preserve">ageddomainsforeverytaste.club</t>
  </si>
  <si>
    <t xml:space="preserve">offermarket.us</t>
  </si>
  <si>
    <t xml:space="preserve">metamagic.top</t>
  </si>
  <si>
    <t xml:space="preserve">sovereignmedia.co.za</t>
  </si>
  <si>
    <t xml:space="preserve">wldirectory.com</t>
  </si>
  <si>
    <t xml:space="preserve">aihitdata.com</t>
  </si>
  <si>
    <t xml:space="preserve">screenshots.wiki</t>
  </si>
  <si>
    <t xml:space="preserve">poidata.io</t>
  </si>
  <si>
    <t xml:space="preserve">digitalmarketingdeal.com</t>
  </si>
  <si>
    <t xml:space="preserve">optimizeflow.top</t>
  </si>
  <si>
    <t xml:space="preserve">jake.eu</t>
  </si>
  <si>
    <t xml:space="preserve">ficoupon.com</t>
  </si>
  <si>
    <t xml:space="preserve">caidc.org</t>
  </si>
  <si>
    <t xml:space="preserve">thequietresorts.com</t>
  </si>
  <si>
    <t xml:space="preserve">qhtycw.com</t>
  </si>
  <si>
    <t xml:space="preserve">technofizi.net</t>
  </si>
  <si>
    <t xml:space="preserve">kgzxkf.com</t>
  </si>
  <si>
    <t xml:space="preserve">bdexamresults.com</t>
  </si>
  <si>
    <t xml:space="preserve">dsnylu.com</t>
  </si>
  <si>
    <t xml:space="preserve">hzdlpq.com</t>
  </si>
  <si>
    <t xml:space="preserve">obmain.com</t>
  </si>
  <si>
    <t xml:space="preserve">kaumy.org</t>
  </si>
  <si>
    <t xml:space="preserve">rayac.com</t>
  </si>
  <si>
    <t xml:space="preserve">prolinkbox.com</t>
  </si>
  <si>
    <t xml:space="preserve">similars.net</t>
  </si>
  <si>
    <t xml:space="preserve">advancedsitestats.com</t>
  </si>
  <si>
    <t xml:space="preserve">joinchargeback.com</t>
  </si>
  <si>
    <t xml:space="preserve">bookblog.ro</t>
  </si>
  <si>
    <t xml:space="preserve">leadgibbon.com</t>
  </si>
  <si>
    <t xml:space="preserve">jobsapp.info</t>
  </si>
  <si>
    <t xml:space="preserve">biztoolspro.net</t>
  </si>
  <si>
    <t xml:space="preserve">caikeystone.org</t>
  </si>
  <si>
    <t xml:space="preserve">ratemyarea.com</t>
  </si>
  <si>
    <t xml:space="preserve">kyinbridges.com</t>
  </si>
  <si>
    <t xml:space="preserve">best-backlink-provider.com.in</t>
  </si>
  <si>
    <t xml:space="preserve">bmwyng.com</t>
  </si>
  <si>
    <t xml:space="preserve">sitescooponline.com</t>
  </si>
  <si>
    <t xml:space="preserve">idcrawl.com</t>
  </si>
  <si>
    <t xml:space="preserve">adzbusiness.com</t>
  </si>
  <si>
    <t xml:space="preserve">wikibacklink.com</t>
  </si>
  <si>
    <t xml:space="preserve">advertiseyourdomain.com</t>
  </si>
  <si>
    <t xml:space="preserve">sitelinks.info</t>
  </si>
  <si>
    <t xml:space="preserve">caimdches.org</t>
  </si>
  <si>
    <t xml:space="preserve">osapropertymanagement.com</t>
  </si>
  <si>
    <t xml:space="preserve">sperlongadata.com</t>
  </si>
  <si>
    <t xml:space="preserve">seoagency.sale</t>
  </si>
  <si>
    <t xml:space="preserve">coldlytics.com</t>
  </si>
  <si>
    <t xml:space="preserve">all-aged-domains.com.in</t>
  </si>
  <si>
    <t xml:space="preserve">linksjump.com</t>
  </si>
  <si>
    <t xml:space="preserve">soupspooncafe.com</t>
  </si>
  <si>
    <t xml:space="preserve">illumepm.com</t>
  </si>
  <si>
    <t xml:space="preserve">privatedns.com</t>
  </si>
  <si>
    <t xml:space="preserve">Task</t>
  </si>
  <si>
    <t xml:space="preserve">Page</t>
  </si>
  <si>
    <t xml:space="preserve">Due Date</t>
  </si>
  <si>
    <t xml:space="preserve">Build redirect map: old WP URLs → new Astro URLs before launch</t>
  </si>
  <si>
    <t xml:space="preserve">All pages</t>
  </si>
  <si>
    <t xml:space="preserve">P0</t>
  </si>
  <si>
    <t xml:space="preserve">2026-05-30</t>
  </si>
  <si>
    <t xml:space="preserve">84 organic keywords + all GSC traffic are attached to old WP URL structure (/service-area/anne-arundel-county-md/ → /hoa-management/maryland/anne-arundel-county/). 301 redirects MUST be live on launch day or all ranking equity is lost. Critical.</t>
  </si>
  <si>
    <t xml:space="preserve">Verify all canonical tags point to new tidewaterproperty.com URLs (not staging/WP)</t>
  </si>
  <si>
    <t xml:space="preserve">Staging crawl shows canonicals pointing to www.tidewaterproperty.com (correct) but noindex is active. Confirm noindex is removed and canonicals are correct at production launch.</t>
  </si>
  <si>
    <t xml:space="preserve">Remove noindex from all production pages at launch</t>
  </si>
  <si>
    <t xml:space="preserve">Screaming Frog confirmed ALL staging pages are noindex (canonicalised). This is correct for staging but must be removed from production. Verify via robots.txt and meta robots audit day-of-launch.</t>
  </si>
  <si>
    <t xml:space="preserve">Submit XML sitemap to GSC after launch + request indexing for 10 priority URLs</t>
  </si>
  <si>
    <t xml:space="preserve">2026-06-01</t>
  </si>
  <si>
    <t xml:space="preserve">Once noindex removed and redirects live, submit sitemap to GSC and use URL Inspection to request indexing for homepage, /hoa-management/, /hoa-management/maryland/, /hoa-management/maryland/anne-arundel-county/, /hoa-management/condo-association/, and 5 other priority pages.</t>
  </si>
  <si>
    <t xml:space="preserve">Build 14 'Not started' pages: service sub-pages + state/location hubs</t>
  </si>
  <si>
    <t xml:space="preserve">Multiple — see Page Inventory</t>
  </si>
  <si>
    <t xml:space="preserve">2026-06-15</t>
  </si>
  <si>
    <t xml:space="preserve">14 pages in tracker are Not started: /hoa-management/condo-association/, /hoa-management/financial-management/, /hoa-management/compliance-enforcement/, /hoa-management/board-support/, /solutions/switch-management-companies/, /solutions/first-time-hoa-board/, /hoa-management/maryland/ (hub), /hoa-management/delaware/ (hub), /hoa-management/delaware/sussex-county/, /hoa-management/delaware/lewes/, /hoa-management/delaware/rehoboth-beach/, /hoa-management/pennsylvania/ (hub), /hoa-management/pennsylvania/york-county/ (already Live via redirect), /proposal/.</t>
  </si>
  <si>
    <t xml:space="preserve">Optimize quorum blog post title/meta: 5,682 impressions, 0 clicks at pos 13.7</t>
  </si>
  <si>
    <t xml:space="preserve">P1</t>
  </si>
  <si>
    <t xml:space="preserve">2026-06-08</t>
  </si>
  <si>
    <t xml:space="preserve">"What Is a Quorum?" gets 5,682 GSC impressions in 30 days with 0 clicks at position 13.7. KD 69. Current title is too generic. Test new title: 'What Is a Quorum and Why Does It Matter for Your HOA?' Add FAQ schema. Add internal links from /hoa-management/board-support/. Should move to page 1 within 60 days.</t>
  </si>
  <si>
    <t xml:space="preserve">Target 'hoa management services' (vol 1,900, KD 1) with /hoa-management/ hub</t>
  </si>
  <si>
    <t xml:space="preserve">Highest-value opportunity in the dataset. Vol 1,900, KD 1 — very low competition for a high-volume term. Current /hoa-management/ page needs: LocalBusiness + Service schema, internal links from homepage and all location pages, proposed meta deployed.</t>
  </si>
  <si>
    <t xml:space="preserve">Target 'community association management' (vol 1,900, KD 11) — /hoa-management/ + Maryland hub</t>
  </si>
  <si>
    <t xml:space="preserve">Second-highest opportunity: vol 1,900, KD 11. Needs strong /hoa-management/ hub with clear service list + /hoa-management/maryland/ state hub as primary landing target. Current site has no equivalent URL — full content build required.</t>
  </si>
  <si>
    <t xml:space="preserve">Build /hoa-management/maryland/ state hub (currently not built)</t>
  </si>
  <si>
    <t xml:space="preserve">State hub targeting 'hoa management companies maryland', 'best property management companies in maryland', and 10+ county-level terms. Should link to all MD county/city location pages. Include county selector UI. AggregateRating + LocalBusiness schema.</t>
  </si>
  <si>
    <t xml:space="preserve">Add FAQ schema to homepage, /hoa-management/, /faq/ for AI Overview visibility</t>
  </si>
  <si>
    <t xml:space="preserve">Homepage + /hoa-management/ + /faq/</t>
  </si>
  <si>
    <t xml:space="preserve">AI Overview features are showing for 'hoa management services', 'community association management', 'hoa management company'. Structured data (FAQPage schema) is the main lever to appear in these features. 5-7 Q&amp;A pairs per page.</t>
  </si>
  <si>
    <t xml:space="preserve">Deploy disavow file for ~40 PBN/spam domains</t>
  </si>
  <si>
    <t xml:space="preserve">All pages (backlink health)</t>
  </si>
  <si>
    <t xml:space="preserve">40 domains classified PBN/spam in Backlinks tab. Domains include buybacklinks.agency, rank-top.click, seoexpress.org, rankva.com, kingranks.com, linkrankpro.shop, etc. Build disavow.txt and submit via GSC. Monitor DR impact over 60 days.</t>
  </si>
  <si>
    <t xml:space="preserve">Run PageSpeed Insights on top 10 priority URLs — enter LCP/INP/CLS in Technical Health</t>
  </si>
  <si>
    <t xml:space="preserve">Homepage + 9 priority service pages</t>
  </si>
  <si>
    <t xml:space="preserve">P2</t>
  </si>
  <si>
    <t xml:space="preserve">CWV data not pulled (PSI quota). Priority pages: /, /hoa-management/, /hoa-management/maryland/anne-arundel-county/, /hoa-management/maryland/baltimore-county/, /hoa-management/condo-association/, /rental-management/, /contact/, /proposal/. Use https://pagespeed.web.dev/. Target LCP &lt; 2.5s, INP &lt; 200ms, CLS &lt; 0.1.</t>
  </si>
  <si>
    <t xml:space="preserve">Deploy proposed titles/metas from sitemap spec to all 40 pages</t>
  </si>
  <si>
    <t xml:space="preserve">All 40 pages — see Page Inventory</t>
  </si>
  <si>
    <t xml:space="preserve">Page Inventory has proposed titles and metas for all 40 pages from sitemap spec. Staging crawl confirmed current titles are largely sub-60ch (good) but proposed metas need to be applied in Astro frontmatter. Flag any titles &gt; 60ch (yellow in Page Inventory).</t>
  </si>
  <si>
    <t xml:space="preserve">Add AggregateRating schema to homepage to enable star ratings in SERP</t>
  </si>
  <si>
    <t xml:space="preserve">2026-06-22</t>
  </si>
  <si>
    <t xml:space="preserve">Homepage sitemap specifies AggregateRating schema. Tidewater has strong review volume on Google/BBB/ProvenExpert. Implement structured data pulling from a verified source. Verify with Rich Results Test.</t>
  </si>
  <si>
    <t xml:space="preserve">Internal linking audit: connect new location + service pages to hub pages</t>
  </si>
  <si>
    <t xml:space="preserve">2026-07-01</t>
  </si>
  <si>
    <t xml:space="preserve">Internal link data shows most old WP pages had 132+ links in (from footer/nav). New Astro site structure needs equivalent nav coverage. Ensure every location page links to its state hub, every service page links to /hoa-management/, and /hoa-management/ links to all sub-services.</t>
  </si>
  <si>
    <t xml:space="preserve">Write 3 blog posts targeting informational HOA management queries</t>
  </si>
  <si>
    <t xml:space="preserve">P3</t>
  </si>
  <si>
    <t xml:space="preserve">2026-07-15</t>
  </si>
  <si>
    <t xml:space="preserve">Top informational opportunities: (1) 'what does an hoa management company do' — vol 80, KD 0; (2) 'does an hoa need a management company' — vol 100, KD 0; (3) 'how to change hoa management company' — vol 60, KD 0. Each should be 1,200+ words with FAQPage schema.</t>
  </si>
  <si>
    <t xml:space="preserve">Monthly SEO refresh: update rankings, GSC performance, new keyword opportunities</t>
  </si>
  <si>
    <t xml:space="preserve">All tabs</t>
  </si>
  <si>
    <t xml:space="preserve">Schedule monthly refresh: re-run Ahrefs organic keywords, GSC pages/keywords, update Performance tab, close completed Roadmap tasks, add new findings.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</si>
</sst>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F1E3D"/>
      <name val="Cambria"/>
      <family val="0"/>
      <charset val="1"/>
    </font>
    <font>
      <b val="true"/>
      <sz val="14"/>
      <color rgb="FF0F1E3D"/>
      <name val="Cambria"/>
      <family val="0"/>
      <charset val="1"/>
    </font>
    <font>
      <b val="true"/>
      <sz val="20"/>
      <color rgb="FF0F1E3D"/>
      <name val="Cambria"/>
      <family val="0"/>
      <charset val="1"/>
    </font>
    <font>
      <b val="true"/>
      <sz val="12"/>
      <color rgb="FF0F1E3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276221"/>
      <name val="Cambria"/>
      <family val="0"/>
      <charset val="1"/>
    </font>
    <font>
      <sz val="11"/>
      <color rgb="FF9C0006"/>
      <name val="Cambria"/>
      <family val="0"/>
      <charset val="1"/>
    </font>
    <font>
      <sz val="10"/>
      <name val="Arial"/>
      <family val="2"/>
    </font>
    <font>
      <b val="true"/>
      <sz val="11"/>
      <color rgb="FF9C0006"/>
      <name val="Cambria"/>
      <family val="0"/>
      <charset val="1"/>
    </font>
    <font>
      <b val="true"/>
      <sz val="11"/>
      <color rgb="FF9C6500"/>
      <name val="Cambria"/>
      <family val="0"/>
      <charset val="1"/>
    </font>
    <font>
      <b val="true"/>
      <sz val="11"/>
      <color rgb="FF276221"/>
      <name val="Cambria"/>
      <family val="0"/>
      <charset val="1"/>
    </font>
    <font>
      <b val="true"/>
      <sz val="11"/>
      <color rgb="FF1F497D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AEEF5"/>
        <bgColor rgb="FFDFF6E0"/>
      </patternFill>
    </fill>
    <fill>
      <patternFill patternType="solid">
        <fgColor rgb="FF0F1E3D"/>
        <bgColor rgb="FF333333"/>
      </patternFill>
    </fill>
    <fill>
      <patternFill patternType="solid">
        <fgColor rgb="FFBDD7EE"/>
        <bgColor rgb="FFD9D9D9"/>
      </patternFill>
    </fill>
    <fill>
      <patternFill patternType="solid">
        <fgColor rgb="FFFFC7CE"/>
        <bgColor rgb="FFFFCC99"/>
      </patternFill>
    </fill>
    <fill>
      <patternFill patternType="solid">
        <fgColor rgb="FFD9D9D9"/>
        <bgColor rgb="FFBDD7EE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FF6E0"/>
      </patternFill>
    </fill>
    <fill>
      <patternFill patternType="solid">
        <fgColor rgb="FFFFCC99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1E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0F1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DD7EE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color rgb="FF2F5D3A"/>
      </font>
      <fill>
        <patternFill>
          <bgColor rgb="FFDFF6E0"/>
        </patternFill>
      </fill>
    </dxf>
    <dxf>
      <font>
        <b val="1"/>
        <color rgb="FFFFFFFF"/>
      </font>
      <fill>
        <patternFill>
          <bgColor rgb="FFFF5C8A"/>
        </patternFill>
      </fill>
    </dxf>
    <dxf>
      <font>
        <b val="1"/>
        <color rgb="FF333333"/>
      </font>
      <fill>
        <patternFill>
          <bgColor rgb="FFFFCD3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9D9D9"/>
      <rgbColor rgb="FF808080"/>
      <rgbColor rgb="FF9999FF"/>
      <rgbColor rgb="FF993366"/>
      <rgbColor rgb="FFFFFFCC"/>
      <rgbColor rgb="FFDFF6E0"/>
      <rgbColor rgb="FF660066"/>
      <rgbColor rgb="FFFF5C8A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EF5"/>
      <rgbColor rgb="FFC6EFCE"/>
      <rgbColor rgb="FFFFEB9C"/>
      <rgbColor rgb="FF99CCFF"/>
      <rgbColor rgb="FFFFC7CE"/>
      <rgbColor rgb="FFCC99FF"/>
      <rgbColor rgb="FFFFCC99"/>
      <rgbColor rgb="FF3366FF"/>
      <rgbColor rgb="FF33CCCC"/>
      <rgbColor rgb="FF99CC00"/>
      <rgbColor rgb="FFFFCD3C"/>
      <rgbColor rgb="FFFF9900"/>
      <rgbColor rgb="FFFF6600"/>
      <rgbColor rgb="FF666699"/>
      <rgbColor rgb="FF969696"/>
      <rgbColor rgb="FF0F1E3D"/>
      <rgbColor rgb="FF339966"/>
      <rgbColor rgb="FF276221"/>
      <rgbColor rgb="FF2F5D3A"/>
      <rgbColor rgb="FF9C57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2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true" outlineLevel="0" collapsed="false">
      <c r="A3" s="2" t="s">
        <v>2</v>
      </c>
      <c r="B3" s="2"/>
      <c r="C3" s="2"/>
      <c r="D3" s="2"/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5" t="s">
        <v>5</v>
      </c>
      <c r="B5" s="5"/>
      <c r="C5" s="5"/>
      <c r="D5" s="5"/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6"/>
      <c r="B7" s="7"/>
    </row>
    <row r="8" customFormat="false" ht="15" hidden="false" customHeight="false" outlineLevel="0" collapsed="false">
      <c r="A8" s="8" t="s">
        <v>8</v>
      </c>
      <c r="B8" s="9"/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10" t="s">
        <v>11</v>
      </c>
      <c r="B10" s="11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10" t="s">
        <v>15</v>
      </c>
      <c r="B12" s="11" t="s">
        <v>16</v>
      </c>
    </row>
    <row r="13" customFormat="false" ht="1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10" t="s">
        <v>19</v>
      </c>
      <c r="B14" s="11" t="s">
        <v>20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10" t="s">
        <v>23</v>
      </c>
      <c r="B16" s="11" t="s">
        <v>24</v>
      </c>
    </row>
    <row r="17" customFormat="false" ht="15" hidden="false" customHeight="false" outlineLevel="0" collapsed="false">
      <c r="A17" s="3" t="s">
        <v>25</v>
      </c>
      <c r="B17" s="4" t="s">
        <v>26</v>
      </c>
    </row>
    <row r="18" customFormat="false" ht="15" hidden="false" customHeight="false" outlineLevel="0" collapsed="false">
      <c r="A18" s="10" t="s">
        <v>27</v>
      </c>
      <c r="B18" s="11" t="s">
        <v>28</v>
      </c>
    </row>
    <row r="19" customFormat="false" ht="15" hidden="false" customHeight="false" outlineLevel="0" collapsed="false">
      <c r="A19" s="3"/>
      <c r="B19" s="4"/>
    </row>
    <row r="20" customFormat="false" ht="46.25" hidden="false" customHeight="false" outlineLevel="0" collapsed="false">
      <c r="A20" s="12" t="s">
        <v>29</v>
      </c>
      <c r="B20" s="13" t="s">
        <v>30</v>
      </c>
    </row>
    <row r="21" customFormat="false" ht="15" hidden="false" customHeight="false" outlineLevel="0" collapsed="false">
      <c r="A21" s="3"/>
      <c r="B21" s="4"/>
    </row>
    <row r="22" customFormat="false" ht="15" hidden="false" customHeight="true" outlineLevel="0" collapsed="false">
      <c r="A22" s="14" t="s">
        <v>31</v>
      </c>
      <c r="B22" s="14"/>
      <c r="C22" s="14"/>
      <c r="D22" s="14"/>
    </row>
    <row r="23" customFormat="false" ht="15" hidden="false" customHeight="false" outlineLevel="0" collapsed="false">
      <c r="A23" s="3" t="s">
        <v>32</v>
      </c>
      <c r="B23" s="4" t="s">
        <v>33</v>
      </c>
    </row>
    <row r="24" customFormat="false" ht="15" hidden="false" customHeight="false" outlineLevel="0" collapsed="false">
      <c r="A24" s="6" t="s">
        <v>34</v>
      </c>
      <c r="B24" s="7" t="s">
        <v>35</v>
      </c>
    </row>
    <row r="25" customFormat="false" ht="15" hidden="false" customHeight="false" outlineLevel="0" collapsed="false">
      <c r="A25" s="3" t="s">
        <v>36</v>
      </c>
      <c r="B25" s="4" t="s">
        <v>37</v>
      </c>
    </row>
    <row r="26" customFormat="false" ht="15" hidden="false" customHeight="false" outlineLevel="0" collapsed="false">
      <c r="A26" s="10" t="s">
        <v>38</v>
      </c>
      <c r="B26" s="11" t="s">
        <v>39</v>
      </c>
    </row>
    <row r="27" customFormat="false" ht="15" hidden="false" customHeight="false" outlineLevel="0" collapsed="false">
      <c r="A27" s="3" t="s">
        <v>40</v>
      </c>
      <c r="B27" s="4" t="s">
        <v>41</v>
      </c>
    </row>
    <row r="28" customFormat="false" ht="15" hidden="false" customHeight="false" outlineLevel="0" collapsed="false">
      <c r="A28" s="10" t="s">
        <v>42</v>
      </c>
      <c r="B28" s="11" t="s">
        <v>43</v>
      </c>
    </row>
    <row r="29" customFormat="false" ht="15" hidden="false" customHeight="false" outlineLevel="0" collapsed="false">
      <c r="A29" s="3" t="s">
        <v>44</v>
      </c>
      <c r="B29" s="4" t="s">
        <v>45</v>
      </c>
    </row>
    <row r="30" customFormat="false" ht="15" hidden="false" customHeight="false" outlineLevel="0" collapsed="false">
      <c r="A30" s="10" t="s">
        <v>46</v>
      </c>
      <c r="B30" s="11" t="s">
        <v>47</v>
      </c>
    </row>
    <row r="31" customFormat="false" ht="15" hidden="false" customHeight="false" outlineLevel="0" collapsed="false">
      <c r="A31" s="3"/>
      <c r="B31" s="4"/>
    </row>
    <row r="32" customFormat="false" ht="35.05" hidden="false" customHeight="false" outlineLevel="0" collapsed="false">
      <c r="A32" s="15" t="s">
        <v>48</v>
      </c>
      <c r="B32" s="16" t="s">
        <v>49</v>
      </c>
    </row>
    <row r="33" customFormat="false" ht="15" hidden="false" customHeight="false" outlineLevel="0" collapsed="false">
      <c r="A33" s="17" t="s">
        <v>50</v>
      </c>
      <c r="B33" s="0" t="s">
        <v>51</v>
      </c>
    </row>
    <row r="34" customFormat="false" ht="15" hidden="false" customHeight="false" outlineLevel="0" collapsed="false">
      <c r="A34" s="18" t="s">
        <v>52</v>
      </c>
      <c r="B34" s="19" t="s">
        <v>53</v>
      </c>
    </row>
    <row r="37" customFormat="false" ht="17.35" hidden="false" customHeight="false" outlineLevel="0" collapsed="false">
      <c r="A37" s="20" t="s">
        <v>54</v>
      </c>
      <c r="B37" s="20"/>
      <c r="C37" s="20"/>
      <c r="D37" s="20"/>
    </row>
    <row r="39" customFormat="false" ht="15" hidden="false" customHeight="false" outlineLevel="0" collapsed="false">
      <c r="A39" s="21" t="s">
        <v>55</v>
      </c>
      <c r="B39" s="21" t="s">
        <v>56</v>
      </c>
      <c r="C39" s="21" t="s">
        <v>57</v>
      </c>
    </row>
    <row r="40" customFormat="false" ht="27.75" hidden="false" customHeight="true" outlineLevel="0" collapsed="false">
      <c r="A40" s="11" t="s">
        <v>58</v>
      </c>
      <c r="B40" s="11" t="s">
        <v>59</v>
      </c>
      <c r="C40" s="11" t="s">
        <v>60</v>
      </c>
    </row>
    <row r="41" customFormat="false" ht="27.75" hidden="false" customHeight="true" outlineLevel="0" collapsed="false">
      <c r="A41" s="4" t="s">
        <v>61</v>
      </c>
      <c r="B41" s="4" t="s">
        <v>62</v>
      </c>
      <c r="C41" s="4" t="s">
        <v>63</v>
      </c>
    </row>
    <row r="42" customFormat="false" ht="27.75" hidden="false" customHeight="true" outlineLevel="0" collapsed="false">
      <c r="A42" s="11" t="s">
        <v>64</v>
      </c>
      <c r="B42" s="11" t="s">
        <v>65</v>
      </c>
      <c r="C42" s="11" t="s">
        <v>66</v>
      </c>
    </row>
    <row r="43" customFormat="false" ht="27.75" hidden="false" customHeight="true" outlineLevel="0" collapsed="false">
      <c r="A43" s="4" t="s">
        <v>67</v>
      </c>
      <c r="B43" s="4" t="s">
        <v>68</v>
      </c>
      <c r="C43" s="4" t="s">
        <v>69</v>
      </c>
    </row>
    <row r="44" customFormat="false" ht="27.75" hidden="false" customHeight="true" outlineLevel="0" collapsed="false">
      <c r="A44" s="11" t="s">
        <v>70</v>
      </c>
      <c r="B44" s="11" t="s">
        <v>71</v>
      </c>
      <c r="C44" s="11" t="s">
        <v>72</v>
      </c>
    </row>
    <row r="45" customFormat="false" ht="27.75" hidden="false" customHeight="true" outlineLevel="0" collapsed="false">
      <c r="A45" s="4" t="s">
        <v>73</v>
      </c>
      <c r="B45" s="4" t="s">
        <v>74</v>
      </c>
      <c r="C45" s="4" t="s">
        <v>75</v>
      </c>
    </row>
    <row r="46" customFormat="false" ht="27.75" hidden="false" customHeight="true" outlineLevel="0" collapsed="false">
      <c r="A46" s="11" t="s">
        <v>76</v>
      </c>
      <c r="B46" s="11" t="s">
        <v>77</v>
      </c>
      <c r="C46" s="11" t="s">
        <v>78</v>
      </c>
    </row>
    <row r="47" customFormat="false" ht="27.75" hidden="false" customHeight="true" outlineLevel="0" collapsed="false">
      <c r="A47" s="4" t="s">
        <v>79</v>
      </c>
      <c r="B47" s="4" t="s">
        <v>80</v>
      </c>
      <c r="C47" s="4" t="s">
        <v>81</v>
      </c>
    </row>
  </sheetData>
  <mergeCells count="6">
    <mergeCell ref="A1:D1"/>
    <mergeCell ref="A2:D2"/>
    <mergeCell ref="A3:D3"/>
    <mergeCell ref="A5:D5"/>
    <mergeCell ref="A22:D22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24.45" hidden="false" customHeight="false" outlineLevel="0" collapsed="false">
      <c r="A1" s="22" t="s">
        <v>82</v>
      </c>
      <c r="B1" s="22"/>
    </row>
    <row r="3" customFormat="false" ht="60" hidden="false" customHeight="true" outlineLevel="0" collapsed="false">
      <c r="A3" s="23" t="s">
        <v>83</v>
      </c>
      <c r="B3" s="4" t="s">
        <v>84</v>
      </c>
    </row>
    <row r="4" customFormat="false" ht="109.5" hidden="false" customHeight="true" outlineLevel="0" collapsed="false">
      <c r="A4" s="23" t="s">
        <v>85</v>
      </c>
      <c r="B4" s="4" t="s">
        <v>86</v>
      </c>
    </row>
    <row r="5" customFormat="false" ht="90" hidden="false" customHeight="true" outlineLevel="0" collapsed="false">
      <c r="A5" s="23" t="s">
        <v>87</v>
      </c>
      <c r="B5" s="4" t="s">
        <v>88</v>
      </c>
    </row>
    <row r="6" customFormat="false" ht="109.5" hidden="false" customHeight="true" outlineLevel="0" collapsed="false">
      <c r="A6" s="23" t="s">
        <v>89</v>
      </c>
      <c r="B6" s="4" t="s">
        <v>90</v>
      </c>
    </row>
    <row r="7" customFormat="false" ht="69.75" hidden="false" customHeight="true" outlineLevel="0" collapsed="false">
      <c r="A7" s="23" t="s">
        <v>91</v>
      </c>
      <c r="B7" s="4" t="s">
        <v>92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2"/>
  </cols>
  <sheetData>
    <row r="1" customFormat="false" ht="17.35" hidden="false" customHeight="false" outlineLevel="0" collapsed="false">
      <c r="A1" s="24" t="s">
        <v>93</v>
      </c>
      <c r="B1" s="24"/>
      <c r="C1" s="24"/>
      <c r="D1" s="24"/>
      <c r="E1" s="24"/>
      <c r="F1" s="24"/>
      <c r="G1" s="24"/>
    </row>
    <row r="3" customFormat="false" ht="15" hidden="false" customHeight="false" outlineLevel="0" collapsed="false">
      <c r="A3" s="25" t="s">
        <v>94</v>
      </c>
      <c r="B3" s="25" t="s">
        <v>95</v>
      </c>
      <c r="C3" s="25" t="s">
        <v>96</v>
      </c>
      <c r="D3" s="25" t="s">
        <v>97</v>
      </c>
      <c r="E3" s="25" t="s">
        <v>98</v>
      </c>
      <c r="F3" s="25" t="s">
        <v>99</v>
      </c>
      <c r="G3" s="25" t="s">
        <v>100</v>
      </c>
    </row>
    <row r="4" customFormat="false" ht="15" hidden="false" customHeight="false" outlineLevel="0" collapsed="false">
      <c r="A4" s="0" t="s">
        <v>101</v>
      </c>
      <c r="B4" s="0" t="s">
        <v>102</v>
      </c>
      <c r="C4" s="0" t="s">
        <v>103</v>
      </c>
      <c r="D4" s="0" t="s">
        <v>104</v>
      </c>
      <c r="E4" s="0" t="s">
        <v>105</v>
      </c>
      <c r="F4" s="0" t="s">
        <v>106</v>
      </c>
      <c r="G4" s="0" t="s">
        <v>107</v>
      </c>
    </row>
    <row r="5" customFormat="false" ht="15" hidden="false" customHeight="false" outlineLevel="0" collapsed="false">
      <c r="A5" s="0" t="s">
        <v>108</v>
      </c>
      <c r="B5" s="0" t="s">
        <v>109</v>
      </c>
      <c r="C5" s="0" t="s">
        <v>110</v>
      </c>
      <c r="D5" s="0" t="s">
        <v>111</v>
      </c>
      <c r="E5" s="0" t="s">
        <v>112</v>
      </c>
      <c r="F5" s="0" t="s">
        <v>113</v>
      </c>
      <c r="G5" s="0" t="s">
        <v>114</v>
      </c>
    </row>
    <row r="6" customFormat="false" ht="15" hidden="false" customHeight="false" outlineLevel="0" collapsed="false">
      <c r="A6" s="0" t="s">
        <v>115</v>
      </c>
      <c r="B6" s="0" t="s">
        <v>116</v>
      </c>
      <c r="C6" s="0" t="s">
        <v>117</v>
      </c>
      <c r="D6" s="0" t="s">
        <v>118</v>
      </c>
      <c r="E6" s="0" t="s">
        <v>119</v>
      </c>
      <c r="F6" s="0" t="s">
        <v>120</v>
      </c>
      <c r="G6" s="0" t="s">
        <v>121</v>
      </c>
    </row>
    <row r="7" customFormat="false" ht="15" hidden="false" customHeight="false" outlineLevel="0" collapsed="false">
      <c r="A7" s="0" t="s">
        <v>122</v>
      </c>
      <c r="B7" s="0" t="s">
        <v>123</v>
      </c>
      <c r="C7" s="0" t="s">
        <v>124</v>
      </c>
      <c r="D7" s="0" t="s">
        <v>125</v>
      </c>
      <c r="E7" s="0" t="s">
        <v>126</v>
      </c>
      <c r="F7" s="0" t="s">
        <v>127</v>
      </c>
      <c r="G7" s="0" t="s">
        <v>128</v>
      </c>
    </row>
    <row r="8" customFormat="false" ht="15" hidden="false" customHeight="false" outlineLevel="0" collapsed="false">
      <c r="A8" s="0" t="s">
        <v>129</v>
      </c>
      <c r="B8" s="0" t="s">
        <v>130</v>
      </c>
      <c r="D8" s="0" t="s">
        <v>108</v>
      </c>
      <c r="E8" s="0" t="s">
        <v>131</v>
      </c>
      <c r="F8" s="0" t="s">
        <v>132</v>
      </c>
      <c r="G8" s="0" t="s">
        <v>133</v>
      </c>
    </row>
    <row r="9" customFormat="false" ht="15" hidden="false" customHeight="false" outlineLevel="0" collapsed="false">
      <c r="A9" s="0" t="s">
        <v>134</v>
      </c>
      <c r="F9" s="0" t="s">
        <v>135</v>
      </c>
      <c r="G9" s="0" t="s">
        <v>136</v>
      </c>
    </row>
    <row r="10" customFormat="false" ht="15" hidden="false" customHeight="false" outlineLevel="0" collapsed="false">
      <c r="A10" s="0" t="s">
        <v>137</v>
      </c>
      <c r="F10" s="0" t="s">
        <v>138</v>
      </c>
      <c r="G10" s="0" t="s">
        <v>139</v>
      </c>
    </row>
    <row r="11" customFormat="false" ht="15" hidden="false" customHeight="false" outlineLevel="0" collapsed="false">
      <c r="F11" s="0" t="s">
        <v>140</v>
      </c>
      <c r="G11" s="0" t="s">
        <v>141</v>
      </c>
    </row>
    <row r="12" customFormat="false" ht="15" hidden="false" customHeight="false" outlineLevel="0" collapsed="false">
      <c r="F12" s="0" t="s">
        <v>142</v>
      </c>
      <c r="G12" s="0" t="s">
        <v>143</v>
      </c>
    </row>
    <row r="13" customFormat="false" ht="15" hidden="false" customHeight="false" outlineLevel="0" collapsed="false">
      <c r="F13" s="0" t="s">
        <v>144</v>
      </c>
      <c r="G13" s="0" t="s">
        <v>145</v>
      </c>
    </row>
    <row r="14" customFormat="false" ht="15" hidden="false" customHeight="false" outlineLevel="0" collapsed="false">
      <c r="F14" s="0" t="s">
        <v>146</v>
      </c>
      <c r="G14" s="0" t="s">
        <v>147</v>
      </c>
    </row>
    <row r="15" customFormat="false" ht="15" hidden="false" customHeight="false" outlineLevel="0" collapsed="false">
      <c r="F15" s="0" t="s">
        <v>136</v>
      </c>
    </row>
    <row r="16" customFormat="false" ht="15" hidden="false" customHeight="false" outlineLevel="0" collapsed="false">
      <c r="F16" s="0" t="s">
        <v>148</v>
      </c>
    </row>
    <row r="17" customFormat="false" ht="15" hidden="false" customHeight="false" outlineLevel="0" collapsed="false">
      <c r="F17" s="0" t="s">
        <v>149</v>
      </c>
    </row>
    <row r="18" customFormat="false" ht="15" hidden="false" customHeight="false" outlineLevel="0" collapsed="false">
      <c r="F18" s="0" t="s">
        <v>150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5"/>
    <col collapsed="false" customWidth="true" hidden="false" outlineLevel="0" max="3" min="3" style="0" width="55"/>
    <col collapsed="false" customWidth="true" hidden="false" outlineLevel="0" max="4" min="4" style="0" width="8"/>
    <col collapsed="false" customWidth="true" hidden="false" outlineLevel="0" max="5" min="5" style="0" width="75"/>
    <col collapsed="false" customWidth="true" hidden="false" outlineLevel="0" max="6" min="6" style="0" width="8"/>
    <col collapsed="false" customWidth="true" hidden="false" outlineLevel="0" max="7" min="7" style="0" width="45"/>
    <col collapsed="false" customWidth="true" hidden="false" outlineLevel="0" max="8" min="8" style="0" width="8"/>
    <col collapsed="false" customWidth="true" hidden="false" outlineLevel="0" max="9" min="9" style="0" width="35"/>
    <col collapsed="false" customWidth="true" hidden="false" outlineLevel="0" max="10" min="10" style="0" width="15"/>
    <col collapsed="false" customWidth="true" hidden="false" outlineLevel="0" max="12" min="11" style="0" width="55"/>
    <col collapsed="false" customWidth="true" hidden="false" outlineLevel="0" max="13" min="13" style="0" width="45"/>
    <col collapsed="false" customWidth="true" hidden="false" outlineLevel="0" max="14" min="14" style="0" width="30"/>
    <col collapsed="false" customWidth="true" hidden="false" outlineLevel="0" max="17" min="15" style="0" width="12"/>
    <col collapsed="false" customWidth="true" hidden="false" outlineLevel="0" max="18" min="18" style="0" width="10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50"/>
  </cols>
  <sheetData>
    <row r="1" customFormat="false" ht="31.5" hidden="false" customHeight="true" outlineLevel="0" collapsed="false">
      <c r="A1" s="21" t="s">
        <v>151</v>
      </c>
      <c r="B1" s="21" t="s">
        <v>99</v>
      </c>
      <c r="C1" s="21" t="s">
        <v>152</v>
      </c>
      <c r="D1" s="21" t="s">
        <v>153</v>
      </c>
      <c r="E1" s="21" t="s">
        <v>154</v>
      </c>
      <c r="F1" s="21" t="s">
        <v>155</v>
      </c>
      <c r="G1" s="21" t="s">
        <v>156</v>
      </c>
      <c r="H1" s="21" t="s">
        <v>157</v>
      </c>
      <c r="I1" s="21" t="s">
        <v>158</v>
      </c>
      <c r="J1" s="21" t="s">
        <v>159</v>
      </c>
      <c r="K1" s="21" t="s">
        <v>160</v>
      </c>
      <c r="L1" s="21" t="s">
        <v>161</v>
      </c>
      <c r="M1" s="21" t="s">
        <v>162</v>
      </c>
      <c r="N1" s="21" t="s">
        <v>100</v>
      </c>
      <c r="O1" s="21" t="s">
        <v>163</v>
      </c>
      <c r="P1" s="21" t="s">
        <v>98</v>
      </c>
      <c r="Q1" s="21" t="s">
        <v>94</v>
      </c>
      <c r="R1" s="21" t="s">
        <v>164</v>
      </c>
      <c r="S1" s="21" t="s">
        <v>165</v>
      </c>
      <c r="T1" s="21" t="s">
        <v>166</v>
      </c>
      <c r="U1" s="21" t="s">
        <v>167</v>
      </c>
    </row>
    <row r="2" customFormat="false" ht="15" hidden="false" customHeight="false" outlineLevel="0" collapsed="false">
      <c r="A2" s="0" t="s">
        <v>168</v>
      </c>
      <c r="B2" s="26" t="s">
        <v>169</v>
      </c>
      <c r="C2" s="27" t="s">
        <v>170</v>
      </c>
      <c r="D2" s="0" t="n">
        <f aca="false">IF(C2="",0,LEN(C2))</f>
        <v>64</v>
      </c>
      <c r="E2" s="0" t="s">
        <v>171</v>
      </c>
      <c r="F2" s="0" t="n">
        <f aca="false">IF(E2="",0,LEN(E2))</f>
        <v>141</v>
      </c>
      <c r="G2" s="0" t="s">
        <v>172</v>
      </c>
      <c r="H2" s="0" t="n">
        <f aca="false">IF(G2="",0,LEN(G2))</f>
        <v>41</v>
      </c>
      <c r="I2" s="0" t="s">
        <v>173</v>
      </c>
      <c r="J2" s="26" t="s">
        <v>123</v>
      </c>
      <c r="K2" s="0" t="s">
        <v>174</v>
      </c>
      <c r="L2" s="0" t="s">
        <v>175</v>
      </c>
      <c r="N2" s="0" t="s">
        <v>176</v>
      </c>
      <c r="O2" s="0" t="s">
        <v>4</v>
      </c>
      <c r="P2" s="26" t="s">
        <v>105</v>
      </c>
      <c r="Q2" s="28" t="s">
        <v>108</v>
      </c>
      <c r="R2" s="0" t="s">
        <v>177</v>
      </c>
      <c r="S2" s="0" t="s">
        <v>178</v>
      </c>
      <c r="T2" s="0" t="n">
        <v>134</v>
      </c>
    </row>
    <row r="3" customFormat="false" ht="15" hidden="false" customHeight="false" outlineLevel="0" collapsed="false">
      <c r="A3" s="0" t="s">
        <v>179</v>
      </c>
      <c r="B3" s="26" t="s">
        <v>169</v>
      </c>
      <c r="C3" s="0" t="s">
        <v>180</v>
      </c>
      <c r="D3" s="0" t="n">
        <f aca="false">IF(C3="",0,LEN(C3))</f>
        <v>59</v>
      </c>
      <c r="E3" s="27" t="s">
        <v>181</v>
      </c>
      <c r="F3" s="0" t="n">
        <f aca="false">IF(E3="",0,LEN(E3))</f>
        <v>188</v>
      </c>
      <c r="G3" s="0" t="s">
        <v>182</v>
      </c>
      <c r="H3" s="0" t="n">
        <f aca="false">IF(G3="",0,LEN(G3))</f>
        <v>44</v>
      </c>
      <c r="I3" s="0" t="s">
        <v>183</v>
      </c>
      <c r="J3" s="26" t="s">
        <v>123</v>
      </c>
      <c r="L3" s="0" t="s">
        <v>184</v>
      </c>
      <c r="N3" s="0" t="s">
        <v>185</v>
      </c>
      <c r="O3" s="0" t="s">
        <v>4</v>
      </c>
      <c r="P3" s="26" t="s">
        <v>105</v>
      </c>
      <c r="Q3" s="28" t="s">
        <v>108</v>
      </c>
      <c r="R3" s="0" t="s">
        <v>177</v>
      </c>
      <c r="S3" s="0" t="s">
        <v>178</v>
      </c>
      <c r="T3" s="0" t="n">
        <v>132</v>
      </c>
    </row>
    <row r="4" customFormat="false" ht="15" hidden="false" customHeight="false" outlineLevel="0" collapsed="false">
      <c r="A4" s="0" t="s">
        <v>186</v>
      </c>
      <c r="B4" s="26" t="s">
        <v>169</v>
      </c>
      <c r="C4" s="0" t="s">
        <v>187</v>
      </c>
      <c r="D4" s="0" t="n">
        <f aca="false">IF(C4="",0,LEN(C4))</f>
        <v>39</v>
      </c>
      <c r="E4" s="0" t="s">
        <v>188</v>
      </c>
      <c r="F4" s="0" t="n">
        <f aca="false">IF(E4="",0,LEN(E4))</f>
        <v>147</v>
      </c>
      <c r="G4" s="0" t="s">
        <v>189</v>
      </c>
      <c r="H4" s="0" t="n">
        <f aca="false">IF(G4="",0,LEN(G4))</f>
        <v>19</v>
      </c>
      <c r="I4" s="0" t="s">
        <v>190</v>
      </c>
      <c r="J4" s="26" t="s">
        <v>123</v>
      </c>
      <c r="L4" s="0" t="s">
        <v>191</v>
      </c>
      <c r="N4" s="0" t="s">
        <v>128</v>
      </c>
      <c r="O4" s="0" t="s">
        <v>4</v>
      </c>
      <c r="P4" s="26" t="s">
        <v>105</v>
      </c>
      <c r="Q4" s="29" t="s">
        <v>192</v>
      </c>
      <c r="R4" s="0" t="s">
        <v>177</v>
      </c>
    </row>
    <row r="5" customFormat="false" ht="15" hidden="false" customHeight="false" outlineLevel="0" collapsed="false">
      <c r="A5" s="0" t="s">
        <v>193</v>
      </c>
      <c r="B5" s="26" t="s">
        <v>169</v>
      </c>
      <c r="C5" s="0" t="s">
        <v>194</v>
      </c>
      <c r="D5" s="0" t="n">
        <f aca="false">IF(C5="",0,LEN(C5))</f>
        <v>58</v>
      </c>
      <c r="E5" s="0" t="s">
        <v>195</v>
      </c>
      <c r="F5" s="0" t="n">
        <f aca="false">IF(E5="",0,LEN(E5))</f>
        <v>61</v>
      </c>
      <c r="G5" s="0" t="s">
        <v>196</v>
      </c>
      <c r="H5" s="0" t="n">
        <f aca="false">IF(G5="",0,LEN(G5))</f>
        <v>11</v>
      </c>
      <c r="I5" s="0" t="s">
        <v>197</v>
      </c>
      <c r="J5" s="26" t="s">
        <v>123</v>
      </c>
      <c r="L5" s="0" t="s">
        <v>198</v>
      </c>
      <c r="N5" s="0" t="s">
        <v>199</v>
      </c>
      <c r="O5" s="0" t="s">
        <v>4</v>
      </c>
      <c r="P5" s="26" t="s">
        <v>105</v>
      </c>
      <c r="Q5" s="28" t="s">
        <v>108</v>
      </c>
      <c r="R5" s="0" t="s">
        <v>177</v>
      </c>
      <c r="S5" s="0" t="s">
        <v>178</v>
      </c>
      <c r="T5" s="0" t="n">
        <v>133</v>
      </c>
    </row>
    <row r="6" customFormat="false" ht="15" hidden="false" customHeight="false" outlineLevel="0" collapsed="false">
      <c r="A6" s="0" t="s">
        <v>200</v>
      </c>
      <c r="B6" s="26" t="s">
        <v>113</v>
      </c>
      <c r="C6" s="0" t="s">
        <v>201</v>
      </c>
      <c r="D6" s="0" t="n">
        <f aca="false">IF(C6="",0,LEN(C6))</f>
        <v>55</v>
      </c>
      <c r="E6" s="0" t="s">
        <v>202</v>
      </c>
      <c r="F6" s="0" t="n">
        <f aca="false">IF(E6="",0,LEN(E6))</f>
        <v>138</v>
      </c>
      <c r="G6" s="0" t="s">
        <v>203</v>
      </c>
      <c r="H6" s="0" t="n">
        <f aca="false">IF(G6="",0,LEN(G6))</f>
        <v>41</v>
      </c>
      <c r="I6" s="0" t="s">
        <v>204</v>
      </c>
      <c r="J6" s="26" t="s">
        <v>109</v>
      </c>
      <c r="K6" s="0" t="s">
        <v>205</v>
      </c>
      <c r="L6" s="0" t="s">
        <v>206</v>
      </c>
      <c r="N6" s="0" t="s">
        <v>207</v>
      </c>
      <c r="O6" s="0" t="s">
        <v>4</v>
      </c>
      <c r="P6" s="26" t="s">
        <v>105</v>
      </c>
      <c r="Q6" s="28" t="s">
        <v>108</v>
      </c>
      <c r="R6" s="0" t="s">
        <v>177</v>
      </c>
      <c r="S6" s="0" t="s">
        <v>178</v>
      </c>
      <c r="T6" s="0" t="n">
        <v>133</v>
      </c>
    </row>
    <row r="7" customFormat="false" ht="15" hidden="false" customHeight="false" outlineLevel="0" collapsed="false">
      <c r="A7" s="0" t="s">
        <v>208</v>
      </c>
      <c r="B7" s="26" t="s">
        <v>143</v>
      </c>
      <c r="C7" s="0" t="s">
        <v>209</v>
      </c>
      <c r="D7" s="0" t="n">
        <f aca="false">IF(C7="",0,LEN(C7))</f>
        <v>60</v>
      </c>
      <c r="E7" s="27" t="s">
        <v>210</v>
      </c>
      <c r="F7" s="0" t="n">
        <f aca="false">IF(E7="",0,LEN(E7))</f>
        <v>179</v>
      </c>
      <c r="G7" s="0" t="s">
        <v>211</v>
      </c>
      <c r="H7" s="0" t="n">
        <f aca="false">IF(G7="",0,LEN(G7))</f>
        <v>53</v>
      </c>
      <c r="I7" s="0" t="s">
        <v>212</v>
      </c>
      <c r="J7" s="26" t="s">
        <v>109</v>
      </c>
      <c r="K7" s="0" t="s">
        <v>213</v>
      </c>
      <c r="L7" s="0" t="s">
        <v>214</v>
      </c>
      <c r="N7" s="0" t="s">
        <v>143</v>
      </c>
      <c r="O7" s="0" t="s">
        <v>4</v>
      </c>
      <c r="P7" s="26" t="s">
        <v>105</v>
      </c>
      <c r="Q7" s="29" t="s">
        <v>192</v>
      </c>
      <c r="R7" s="0" t="s">
        <v>177</v>
      </c>
    </row>
    <row r="8" customFormat="false" ht="15" hidden="false" customHeight="false" outlineLevel="0" collapsed="false">
      <c r="A8" s="0" t="s">
        <v>215</v>
      </c>
      <c r="B8" s="26" t="s">
        <v>143</v>
      </c>
      <c r="C8" s="0" t="s">
        <v>216</v>
      </c>
      <c r="D8" s="0" t="n">
        <f aca="false">IF(C8="",0,LEN(C8))</f>
        <v>49</v>
      </c>
      <c r="E8" s="0" t="s">
        <v>217</v>
      </c>
      <c r="F8" s="0" t="n">
        <f aca="false">IF(E8="",0,LEN(E8))</f>
        <v>156</v>
      </c>
      <c r="G8" s="0" t="s">
        <v>218</v>
      </c>
      <c r="H8" s="0" t="n">
        <f aca="false">IF(G8="",0,LEN(G8))</f>
        <v>36</v>
      </c>
      <c r="I8" s="0" t="s">
        <v>219</v>
      </c>
      <c r="J8" s="26" t="s">
        <v>109</v>
      </c>
      <c r="K8" s="0" t="s">
        <v>220</v>
      </c>
      <c r="L8" s="0" t="s">
        <v>221</v>
      </c>
      <c r="N8" s="0" t="s">
        <v>222</v>
      </c>
      <c r="O8" s="0" t="s">
        <v>4</v>
      </c>
      <c r="P8" s="26" t="s">
        <v>105</v>
      </c>
      <c r="Q8" s="28" t="s">
        <v>108</v>
      </c>
      <c r="R8" s="0" t="s">
        <v>177</v>
      </c>
      <c r="S8" s="0" t="s">
        <v>178</v>
      </c>
    </row>
    <row r="9" customFormat="false" ht="15" hidden="false" customHeight="false" outlineLevel="0" collapsed="false">
      <c r="A9" s="0" t="s">
        <v>223</v>
      </c>
      <c r="B9" s="26" t="s">
        <v>143</v>
      </c>
      <c r="C9" s="27" t="s">
        <v>224</v>
      </c>
      <c r="D9" s="0" t="n">
        <f aca="false">IF(C9="",0,LEN(C9))</f>
        <v>61</v>
      </c>
      <c r="E9" s="0" t="s">
        <v>225</v>
      </c>
      <c r="F9" s="0" t="n">
        <f aca="false">IF(E9="",0,LEN(E9))</f>
        <v>150</v>
      </c>
      <c r="G9" s="0" t="s">
        <v>226</v>
      </c>
      <c r="H9" s="0" t="n">
        <f aca="false">IF(G9="",0,LEN(G9))</f>
        <v>51</v>
      </c>
      <c r="I9" s="0" t="s">
        <v>227</v>
      </c>
      <c r="J9" s="26" t="s">
        <v>109</v>
      </c>
      <c r="K9" s="0" t="s">
        <v>228</v>
      </c>
      <c r="L9" s="0" t="s">
        <v>229</v>
      </c>
      <c r="N9" s="0" t="s">
        <v>143</v>
      </c>
      <c r="O9" s="0" t="s">
        <v>4</v>
      </c>
      <c r="P9" s="26" t="s">
        <v>105</v>
      </c>
      <c r="Q9" s="29" t="s">
        <v>192</v>
      </c>
      <c r="R9" s="0" t="s">
        <v>177</v>
      </c>
    </row>
    <row r="10" customFormat="false" ht="15" hidden="false" customHeight="false" outlineLevel="0" collapsed="false">
      <c r="A10" s="0" t="s">
        <v>230</v>
      </c>
      <c r="B10" s="26" t="s">
        <v>143</v>
      </c>
      <c r="C10" s="0" t="s">
        <v>231</v>
      </c>
      <c r="D10" s="0" t="n">
        <f aca="false">IF(C10="",0,LEN(C10))</f>
        <v>49</v>
      </c>
      <c r="E10" s="27" t="s">
        <v>232</v>
      </c>
      <c r="F10" s="0" t="n">
        <f aca="false">IF(E10="",0,LEN(E10))</f>
        <v>177</v>
      </c>
      <c r="G10" s="0" t="s">
        <v>233</v>
      </c>
      <c r="H10" s="0" t="n">
        <f aca="false">IF(G10="",0,LEN(G10))</f>
        <v>34</v>
      </c>
      <c r="I10" s="0" t="s">
        <v>234</v>
      </c>
      <c r="J10" s="26" t="s">
        <v>109</v>
      </c>
      <c r="K10" s="0" t="s">
        <v>235</v>
      </c>
      <c r="L10" s="0" t="s">
        <v>236</v>
      </c>
      <c r="N10" s="0" t="s">
        <v>143</v>
      </c>
      <c r="O10" s="0" t="s">
        <v>4</v>
      </c>
      <c r="P10" s="26" t="s">
        <v>105</v>
      </c>
      <c r="Q10" s="29" t="s">
        <v>192</v>
      </c>
      <c r="R10" s="0" t="s">
        <v>177</v>
      </c>
    </row>
    <row r="11" customFormat="false" ht="15" hidden="false" customHeight="false" outlineLevel="0" collapsed="false">
      <c r="A11" s="0" t="s">
        <v>237</v>
      </c>
      <c r="B11" s="26" t="s">
        <v>143</v>
      </c>
      <c r="C11" s="0" t="s">
        <v>238</v>
      </c>
      <c r="D11" s="0" t="n">
        <f aca="false">IF(C11="",0,LEN(C11))</f>
        <v>51</v>
      </c>
      <c r="E11" s="27" t="s">
        <v>239</v>
      </c>
      <c r="F11" s="0" t="n">
        <f aca="false">IF(E11="",0,LEN(E11))</f>
        <v>173</v>
      </c>
      <c r="G11" s="0" t="s">
        <v>240</v>
      </c>
      <c r="H11" s="0" t="n">
        <f aca="false">IF(G11="",0,LEN(G11))</f>
        <v>45</v>
      </c>
      <c r="I11" s="0" t="s">
        <v>241</v>
      </c>
      <c r="J11" s="26" t="s">
        <v>109</v>
      </c>
      <c r="K11" s="0" t="s">
        <v>242</v>
      </c>
      <c r="L11" s="0" t="s">
        <v>243</v>
      </c>
      <c r="N11" s="0" t="s">
        <v>143</v>
      </c>
      <c r="O11" s="0" t="s">
        <v>4</v>
      </c>
      <c r="P11" s="26" t="s">
        <v>105</v>
      </c>
      <c r="Q11" s="29" t="s">
        <v>192</v>
      </c>
      <c r="R11" s="0" t="s">
        <v>177</v>
      </c>
    </row>
    <row r="12" customFormat="false" ht="15" hidden="false" customHeight="false" outlineLevel="0" collapsed="false">
      <c r="A12" s="0" t="s">
        <v>244</v>
      </c>
      <c r="B12" s="26" t="s">
        <v>113</v>
      </c>
      <c r="C12" s="0" t="s">
        <v>245</v>
      </c>
      <c r="D12" s="0" t="n">
        <f aca="false">IF(C12="",0,LEN(C12))</f>
        <v>47</v>
      </c>
      <c r="E12" s="27" t="s">
        <v>246</v>
      </c>
      <c r="F12" s="0" t="n">
        <f aca="false">IF(E12="",0,LEN(E12))</f>
        <v>174</v>
      </c>
      <c r="G12" s="0" t="s">
        <v>247</v>
      </c>
      <c r="H12" s="0" t="n">
        <f aca="false">IF(G12="",0,LEN(G12))</f>
        <v>49</v>
      </c>
      <c r="I12" s="0" t="s">
        <v>248</v>
      </c>
      <c r="J12" s="26" t="s">
        <v>109</v>
      </c>
      <c r="K12" s="0" t="s">
        <v>249</v>
      </c>
      <c r="L12" s="0" t="s">
        <v>250</v>
      </c>
      <c r="N12" s="0" t="s">
        <v>207</v>
      </c>
      <c r="O12" s="0" t="s">
        <v>4</v>
      </c>
      <c r="P12" s="26" t="s">
        <v>105</v>
      </c>
      <c r="Q12" s="28" t="s">
        <v>108</v>
      </c>
      <c r="R12" s="0" t="s">
        <v>177</v>
      </c>
      <c r="S12" s="0" t="s">
        <v>178</v>
      </c>
      <c r="T12" s="0" t="n">
        <v>132</v>
      </c>
    </row>
    <row r="13" customFormat="false" ht="15" hidden="false" customHeight="false" outlineLevel="0" collapsed="false">
      <c r="A13" s="0" t="s">
        <v>251</v>
      </c>
      <c r="B13" s="26" t="s">
        <v>143</v>
      </c>
      <c r="C13" s="0" t="s">
        <v>252</v>
      </c>
      <c r="D13" s="0" t="n">
        <f aca="false">IF(C13="",0,LEN(C13))</f>
        <v>57</v>
      </c>
      <c r="E13" s="0" t="s">
        <v>253</v>
      </c>
      <c r="F13" s="0" t="n">
        <f aca="false">IF(E13="",0,LEN(E13))</f>
        <v>158</v>
      </c>
      <c r="G13" s="0" t="s">
        <v>254</v>
      </c>
      <c r="H13" s="0" t="n">
        <f aca="false">IF(G13="",0,LEN(G13))</f>
        <v>48</v>
      </c>
      <c r="I13" s="0" t="s">
        <v>255</v>
      </c>
      <c r="J13" s="26" t="s">
        <v>109</v>
      </c>
      <c r="K13" s="0" t="s">
        <v>256</v>
      </c>
      <c r="L13" s="0" t="s">
        <v>257</v>
      </c>
      <c r="N13" s="0" t="s">
        <v>143</v>
      </c>
      <c r="O13" s="0" t="s">
        <v>4</v>
      </c>
      <c r="P13" s="26" t="s">
        <v>105</v>
      </c>
      <c r="Q13" s="28" t="s">
        <v>108</v>
      </c>
      <c r="R13" s="0" t="s">
        <v>177</v>
      </c>
      <c r="S13" s="0" t="s">
        <v>178</v>
      </c>
      <c r="T13" s="0" t="n">
        <v>15</v>
      </c>
    </row>
    <row r="14" customFormat="false" ht="15" hidden="false" customHeight="false" outlineLevel="0" collapsed="false">
      <c r="A14" s="0" t="s">
        <v>258</v>
      </c>
      <c r="B14" s="26" t="s">
        <v>143</v>
      </c>
      <c r="C14" s="0" t="s">
        <v>259</v>
      </c>
      <c r="D14" s="0" t="n">
        <f aca="false">IF(C14="",0,LEN(C14))</f>
        <v>56</v>
      </c>
      <c r="E14" s="27" t="s">
        <v>260</v>
      </c>
      <c r="F14" s="0" t="n">
        <f aca="false">IF(E14="",0,LEN(E14))</f>
        <v>161</v>
      </c>
      <c r="G14" s="0" t="s">
        <v>261</v>
      </c>
      <c r="H14" s="0" t="n">
        <f aca="false">IF(G14="",0,LEN(G14))</f>
        <v>26</v>
      </c>
      <c r="I14" s="0" t="s">
        <v>262</v>
      </c>
      <c r="J14" s="26" t="s">
        <v>109</v>
      </c>
      <c r="K14" s="0" t="s">
        <v>263</v>
      </c>
      <c r="L14" s="0" t="s">
        <v>264</v>
      </c>
      <c r="N14" s="0" t="s">
        <v>143</v>
      </c>
      <c r="O14" s="0" t="s">
        <v>4</v>
      </c>
      <c r="P14" s="26" t="s">
        <v>105</v>
      </c>
      <c r="Q14" s="28" t="s">
        <v>108</v>
      </c>
      <c r="R14" s="0" t="s">
        <v>177</v>
      </c>
      <c r="S14" s="0" t="s">
        <v>178</v>
      </c>
      <c r="T14" s="0" t="n">
        <v>132</v>
      </c>
    </row>
    <row r="15" customFormat="false" ht="15" hidden="false" customHeight="false" outlineLevel="0" collapsed="false">
      <c r="A15" s="0" t="s">
        <v>265</v>
      </c>
      <c r="B15" s="26" t="s">
        <v>143</v>
      </c>
      <c r="C15" s="27" t="s">
        <v>266</v>
      </c>
      <c r="D15" s="0" t="n">
        <f aca="false">IF(C15="",0,LEN(C15))</f>
        <v>64</v>
      </c>
      <c r="E15" s="0" t="s">
        <v>267</v>
      </c>
      <c r="F15" s="0" t="n">
        <f aca="false">IF(E15="",0,LEN(E15))</f>
        <v>153</v>
      </c>
      <c r="G15" s="0" t="s">
        <v>268</v>
      </c>
      <c r="H15" s="0" t="n">
        <f aca="false">IF(G15="",0,LEN(G15))</f>
        <v>55</v>
      </c>
      <c r="I15" s="0" t="s">
        <v>269</v>
      </c>
      <c r="J15" s="26" t="s">
        <v>109</v>
      </c>
      <c r="K15" s="0" t="s">
        <v>270</v>
      </c>
      <c r="L15" s="0" t="s">
        <v>271</v>
      </c>
      <c r="N15" s="0" t="s">
        <v>143</v>
      </c>
      <c r="O15" s="0" t="s">
        <v>4</v>
      </c>
      <c r="P15" s="26" t="s">
        <v>105</v>
      </c>
      <c r="Q15" s="28" t="s">
        <v>108</v>
      </c>
      <c r="R15" s="0" t="s">
        <v>177</v>
      </c>
      <c r="S15" s="0" t="s">
        <v>178</v>
      </c>
    </row>
    <row r="16" customFormat="false" ht="15" hidden="false" customHeight="false" outlineLevel="0" collapsed="false">
      <c r="A16" s="0" t="s">
        <v>272</v>
      </c>
      <c r="B16" s="26" t="s">
        <v>273</v>
      </c>
      <c r="C16" s="0" t="s">
        <v>274</v>
      </c>
      <c r="D16" s="0" t="n">
        <f aca="false">IF(C16="",0,LEN(C16))</f>
        <v>56</v>
      </c>
      <c r="E16" s="27" t="s">
        <v>275</v>
      </c>
      <c r="F16" s="0" t="n">
        <f aca="false">IF(E16="",0,LEN(E16))</f>
        <v>168</v>
      </c>
      <c r="G16" s="0" t="s">
        <v>276</v>
      </c>
      <c r="H16" s="0" t="n">
        <f aca="false">IF(G16="",0,LEN(G16))</f>
        <v>40</v>
      </c>
      <c r="I16" s="0" t="s">
        <v>277</v>
      </c>
      <c r="J16" s="26" t="s">
        <v>102</v>
      </c>
      <c r="K16" s="0" t="s">
        <v>278</v>
      </c>
      <c r="L16" s="0" t="s">
        <v>279</v>
      </c>
      <c r="N16" s="0" t="s">
        <v>280</v>
      </c>
      <c r="O16" s="0" t="s">
        <v>4</v>
      </c>
      <c r="P16" s="26" t="s">
        <v>105</v>
      </c>
      <c r="Q16" s="29" t="s">
        <v>192</v>
      </c>
      <c r="R16" s="0" t="s">
        <v>177</v>
      </c>
    </row>
    <row r="17" customFormat="false" ht="15" hidden="false" customHeight="false" outlineLevel="0" collapsed="false">
      <c r="A17" s="0" t="s">
        <v>281</v>
      </c>
      <c r="B17" s="26" t="s">
        <v>273</v>
      </c>
      <c r="C17" s="0" t="s">
        <v>282</v>
      </c>
      <c r="D17" s="0" t="n">
        <f aca="false">IF(C17="",0,LEN(C17))</f>
        <v>45</v>
      </c>
      <c r="E17" s="27" t="s">
        <v>283</v>
      </c>
      <c r="F17" s="0" t="n">
        <f aca="false">IF(E17="",0,LEN(E17))</f>
        <v>177</v>
      </c>
      <c r="G17" s="0" t="s">
        <v>284</v>
      </c>
      <c r="H17" s="0" t="n">
        <f aca="false">IF(G17="",0,LEN(G17))</f>
        <v>56</v>
      </c>
      <c r="I17" s="0" t="s">
        <v>285</v>
      </c>
      <c r="J17" s="26" t="s">
        <v>102</v>
      </c>
      <c r="K17" s="0" t="s">
        <v>286</v>
      </c>
      <c r="L17" s="0" t="s">
        <v>287</v>
      </c>
      <c r="N17" s="0" t="s">
        <v>121</v>
      </c>
      <c r="O17" s="0" t="s">
        <v>4</v>
      </c>
      <c r="P17" s="26" t="s">
        <v>105</v>
      </c>
      <c r="Q17" s="29" t="s">
        <v>192</v>
      </c>
      <c r="R17" s="0" t="s">
        <v>177</v>
      </c>
    </row>
    <row r="18" customFormat="false" ht="15" hidden="false" customHeight="false" outlineLevel="0" collapsed="false">
      <c r="A18" s="0" t="s">
        <v>288</v>
      </c>
      <c r="B18" s="26" t="s">
        <v>289</v>
      </c>
      <c r="C18" s="0" t="s">
        <v>290</v>
      </c>
      <c r="D18" s="0" t="n">
        <f aca="false">IF(C18="",0,LEN(C18))</f>
        <v>48</v>
      </c>
      <c r="E18" s="27" t="s">
        <v>291</v>
      </c>
      <c r="F18" s="0" t="n">
        <f aca="false">IF(E18="",0,LEN(E18))</f>
        <v>176</v>
      </c>
      <c r="G18" s="0" t="s">
        <v>292</v>
      </c>
      <c r="H18" s="0" t="n">
        <f aca="false">IF(G18="",0,LEN(G18))</f>
        <v>47</v>
      </c>
      <c r="I18" s="0" t="s">
        <v>293</v>
      </c>
      <c r="J18" s="26" t="s">
        <v>109</v>
      </c>
      <c r="K18" s="0" t="s">
        <v>294</v>
      </c>
      <c r="L18" s="0" t="s">
        <v>295</v>
      </c>
      <c r="N18" s="0" t="s">
        <v>207</v>
      </c>
      <c r="O18" s="0" t="s">
        <v>4</v>
      </c>
      <c r="P18" s="26" t="s">
        <v>105</v>
      </c>
      <c r="Q18" s="29" t="s">
        <v>192</v>
      </c>
      <c r="R18" s="0" t="s">
        <v>177</v>
      </c>
    </row>
    <row r="19" customFormat="false" ht="15" hidden="false" customHeight="false" outlineLevel="0" collapsed="false">
      <c r="A19" s="0" t="s">
        <v>296</v>
      </c>
      <c r="B19" s="26" t="s">
        <v>297</v>
      </c>
      <c r="C19" s="0" t="s">
        <v>298</v>
      </c>
      <c r="D19" s="0" t="n">
        <f aca="false">IF(C19="",0,LEN(C19))</f>
        <v>49</v>
      </c>
      <c r="E19" s="0" t="s">
        <v>299</v>
      </c>
      <c r="F19" s="0" t="n">
        <f aca="false">IF(E19="",0,LEN(E19))</f>
        <v>155</v>
      </c>
      <c r="G19" s="0" t="s">
        <v>300</v>
      </c>
      <c r="H19" s="0" t="n">
        <f aca="false">IF(G19="",0,LEN(G19))</f>
        <v>51</v>
      </c>
      <c r="I19" s="0" t="s">
        <v>301</v>
      </c>
      <c r="J19" s="26" t="s">
        <v>109</v>
      </c>
      <c r="K19" s="0" t="s">
        <v>302</v>
      </c>
      <c r="L19" s="0" t="s">
        <v>303</v>
      </c>
      <c r="N19" s="0" t="s">
        <v>207</v>
      </c>
      <c r="O19" s="0" t="s">
        <v>4</v>
      </c>
      <c r="P19" s="26" t="s">
        <v>105</v>
      </c>
      <c r="Q19" s="28" t="s">
        <v>108</v>
      </c>
      <c r="R19" s="0" t="s">
        <v>177</v>
      </c>
      <c r="S19" s="0" t="s">
        <v>178</v>
      </c>
      <c r="T19" s="0" t="n">
        <v>5</v>
      </c>
    </row>
    <row r="20" customFormat="false" ht="15" hidden="false" customHeight="false" outlineLevel="0" collapsed="false">
      <c r="A20" s="0" t="s">
        <v>304</v>
      </c>
      <c r="B20" s="26" t="s">
        <v>297</v>
      </c>
      <c r="C20" s="0" t="s">
        <v>305</v>
      </c>
      <c r="D20" s="0" t="n">
        <f aca="false">IF(C20="",0,LEN(C20))</f>
        <v>46</v>
      </c>
      <c r="E20" s="27" t="s">
        <v>306</v>
      </c>
      <c r="F20" s="0" t="n">
        <f aca="false">IF(E20="",0,LEN(E20))</f>
        <v>167</v>
      </c>
      <c r="G20" s="0" t="s">
        <v>307</v>
      </c>
      <c r="H20" s="0" t="n">
        <f aca="false">IF(G20="",0,LEN(G20))</f>
        <v>48</v>
      </c>
      <c r="I20" s="0" t="s">
        <v>308</v>
      </c>
      <c r="J20" s="26" t="s">
        <v>109</v>
      </c>
      <c r="K20" s="0" t="s">
        <v>309</v>
      </c>
      <c r="L20" s="0" t="s">
        <v>310</v>
      </c>
      <c r="N20" s="0" t="s">
        <v>207</v>
      </c>
      <c r="O20" s="0" t="s">
        <v>4</v>
      </c>
      <c r="P20" s="26" t="s">
        <v>105</v>
      </c>
      <c r="Q20" s="28" t="s">
        <v>108</v>
      </c>
      <c r="R20" s="0" t="s">
        <v>177</v>
      </c>
      <c r="S20" s="0" t="s">
        <v>178</v>
      </c>
    </row>
    <row r="21" customFormat="false" ht="15" hidden="false" customHeight="false" outlineLevel="0" collapsed="false">
      <c r="A21" s="0" t="s">
        <v>311</v>
      </c>
      <c r="B21" s="26" t="s">
        <v>297</v>
      </c>
      <c r="C21" s="0" t="s">
        <v>312</v>
      </c>
      <c r="D21" s="0" t="n">
        <f aca="false">IF(C21="",0,LEN(C21))</f>
        <v>43</v>
      </c>
      <c r="E21" s="0" t="s">
        <v>313</v>
      </c>
      <c r="F21" s="0" t="n">
        <f aca="false">IF(E21="",0,LEN(E21))</f>
        <v>158</v>
      </c>
      <c r="G21" s="0" t="s">
        <v>314</v>
      </c>
      <c r="H21" s="0" t="n">
        <f aca="false">IF(G21="",0,LEN(G21))</f>
        <v>45</v>
      </c>
      <c r="I21" s="0" t="s">
        <v>315</v>
      </c>
      <c r="J21" s="26" t="s">
        <v>109</v>
      </c>
      <c r="K21" s="0" t="s">
        <v>316</v>
      </c>
      <c r="L21" s="0" t="s">
        <v>317</v>
      </c>
      <c r="N21" s="0" t="s">
        <v>207</v>
      </c>
      <c r="O21" s="0" t="s">
        <v>4</v>
      </c>
      <c r="P21" s="26" t="s">
        <v>105</v>
      </c>
      <c r="Q21" s="28" t="s">
        <v>108</v>
      </c>
      <c r="R21" s="0" t="s">
        <v>177</v>
      </c>
      <c r="S21" s="0" t="s">
        <v>178</v>
      </c>
    </row>
    <row r="22" customFormat="false" ht="15" hidden="false" customHeight="false" outlineLevel="0" collapsed="false">
      <c r="A22" s="0" t="s">
        <v>318</v>
      </c>
      <c r="B22" s="26" t="s">
        <v>297</v>
      </c>
      <c r="C22" s="0" t="s">
        <v>319</v>
      </c>
      <c r="D22" s="0" t="n">
        <f aca="false">IF(C22="",0,LEN(C22))</f>
        <v>47</v>
      </c>
      <c r="E22" s="0" t="s">
        <v>320</v>
      </c>
      <c r="F22" s="0" t="n">
        <f aca="false">IF(E22="",0,LEN(E22))</f>
        <v>131</v>
      </c>
      <c r="G22" s="0" t="s">
        <v>321</v>
      </c>
      <c r="H22" s="0" t="n">
        <f aca="false">IF(G22="",0,LEN(G22))</f>
        <v>49</v>
      </c>
      <c r="I22" s="0" t="s">
        <v>322</v>
      </c>
      <c r="J22" s="26" t="s">
        <v>109</v>
      </c>
      <c r="K22" s="0" t="s">
        <v>323</v>
      </c>
      <c r="L22" s="0" t="s">
        <v>324</v>
      </c>
      <c r="N22" s="0" t="s">
        <v>207</v>
      </c>
      <c r="O22" s="0" t="s">
        <v>4</v>
      </c>
      <c r="P22" s="26" t="s">
        <v>105</v>
      </c>
      <c r="Q22" s="28" t="s">
        <v>108</v>
      </c>
      <c r="R22" s="0" t="s">
        <v>177</v>
      </c>
      <c r="S22" s="0" t="s">
        <v>178</v>
      </c>
      <c r="T22" s="0" t="n">
        <v>3</v>
      </c>
    </row>
    <row r="23" customFormat="false" ht="15" hidden="false" customHeight="false" outlineLevel="0" collapsed="false">
      <c r="A23" s="0" t="s">
        <v>325</v>
      </c>
      <c r="B23" s="26" t="s">
        <v>297</v>
      </c>
      <c r="C23" s="0" t="s">
        <v>326</v>
      </c>
      <c r="D23" s="0" t="n">
        <f aca="false">IF(C23="",0,LEN(C23))</f>
        <v>52</v>
      </c>
      <c r="E23" s="27" t="s">
        <v>327</v>
      </c>
      <c r="F23" s="0" t="n">
        <f aca="false">IF(E23="",0,LEN(E23))</f>
        <v>164</v>
      </c>
      <c r="G23" s="0" t="s">
        <v>328</v>
      </c>
      <c r="H23" s="0" t="n">
        <f aca="false">IF(G23="",0,LEN(G23))</f>
        <v>54</v>
      </c>
      <c r="I23" s="0" t="s">
        <v>329</v>
      </c>
      <c r="J23" s="26" t="s">
        <v>109</v>
      </c>
      <c r="K23" s="0" t="s">
        <v>330</v>
      </c>
      <c r="L23" s="0" t="s">
        <v>331</v>
      </c>
      <c r="N23" s="0" t="s">
        <v>207</v>
      </c>
      <c r="O23" s="0" t="s">
        <v>4</v>
      </c>
      <c r="P23" s="26" t="s">
        <v>105</v>
      </c>
      <c r="Q23" s="28" t="s">
        <v>108</v>
      </c>
      <c r="R23" s="0" t="s">
        <v>177</v>
      </c>
      <c r="S23" s="0" t="s">
        <v>178</v>
      </c>
    </row>
    <row r="24" customFormat="false" ht="15" hidden="false" customHeight="false" outlineLevel="0" collapsed="false">
      <c r="A24" s="0" t="s">
        <v>332</v>
      </c>
      <c r="B24" s="26" t="s">
        <v>289</v>
      </c>
      <c r="C24" s="0" t="s">
        <v>333</v>
      </c>
      <c r="D24" s="0" t="n">
        <f aca="false">IF(C24="",0,LEN(C24))</f>
        <v>55</v>
      </c>
      <c r="E24" s="0" t="s">
        <v>334</v>
      </c>
      <c r="F24" s="0" t="n">
        <f aca="false">IF(E24="",0,LEN(E24))</f>
        <v>160</v>
      </c>
      <c r="G24" s="0" t="s">
        <v>335</v>
      </c>
      <c r="H24" s="0" t="n">
        <f aca="false">IF(G24="",0,LEN(G24))</f>
        <v>40</v>
      </c>
      <c r="I24" s="0" t="s">
        <v>336</v>
      </c>
      <c r="J24" s="26" t="s">
        <v>109</v>
      </c>
      <c r="K24" s="0" t="s">
        <v>337</v>
      </c>
      <c r="L24" s="0" t="s">
        <v>338</v>
      </c>
      <c r="N24" s="0" t="s">
        <v>207</v>
      </c>
      <c r="O24" s="0" t="s">
        <v>4</v>
      </c>
      <c r="P24" s="26" t="s">
        <v>105</v>
      </c>
      <c r="Q24" s="29" t="s">
        <v>192</v>
      </c>
      <c r="R24" s="0" t="s">
        <v>177</v>
      </c>
    </row>
    <row r="25" customFormat="false" ht="15" hidden="false" customHeight="false" outlineLevel="0" collapsed="false">
      <c r="A25" s="0" t="s">
        <v>339</v>
      </c>
      <c r="B25" s="26" t="s">
        <v>297</v>
      </c>
      <c r="C25" s="0" t="s">
        <v>340</v>
      </c>
      <c r="D25" s="0" t="n">
        <f aca="false">IF(C25="",0,LEN(C25))</f>
        <v>43</v>
      </c>
      <c r="E25" s="0" t="s">
        <v>341</v>
      </c>
      <c r="F25" s="0" t="n">
        <f aca="false">IF(E25="",0,LEN(E25))</f>
        <v>151</v>
      </c>
      <c r="G25" s="0" t="s">
        <v>342</v>
      </c>
      <c r="H25" s="0" t="n">
        <f aca="false">IF(G25="",0,LEN(G25))</f>
        <v>45</v>
      </c>
      <c r="I25" s="0" t="s">
        <v>343</v>
      </c>
      <c r="J25" s="26" t="s">
        <v>109</v>
      </c>
      <c r="K25" s="0" t="s">
        <v>344</v>
      </c>
      <c r="L25" s="0" t="s">
        <v>345</v>
      </c>
      <c r="N25" s="0" t="s">
        <v>207</v>
      </c>
      <c r="O25" s="0" t="s">
        <v>4</v>
      </c>
      <c r="P25" s="26" t="s">
        <v>105</v>
      </c>
      <c r="Q25" s="29" t="s">
        <v>192</v>
      </c>
      <c r="R25" s="0" t="s">
        <v>177</v>
      </c>
    </row>
    <row r="26" customFormat="false" ht="15" hidden="false" customHeight="false" outlineLevel="0" collapsed="false">
      <c r="A26" s="0" t="s">
        <v>346</v>
      </c>
      <c r="B26" s="26" t="s">
        <v>347</v>
      </c>
      <c r="C26" s="0" t="s">
        <v>348</v>
      </c>
      <c r="D26" s="0" t="n">
        <f aca="false">IF(C26="",0,LEN(C26))</f>
        <v>42</v>
      </c>
      <c r="E26" s="27" t="s">
        <v>349</v>
      </c>
      <c r="F26" s="0" t="n">
        <f aca="false">IF(E26="",0,LEN(E26))</f>
        <v>163</v>
      </c>
      <c r="G26" s="0" t="s">
        <v>350</v>
      </c>
      <c r="H26" s="0" t="n">
        <f aca="false">IF(G26="",0,LEN(G26))</f>
        <v>42</v>
      </c>
      <c r="I26" s="0" t="s">
        <v>351</v>
      </c>
      <c r="J26" s="26" t="s">
        <v>102</v>
      </c>
      <c r="K26" s="0" t="s">
        <v>352</v>
      </c>
      <c r="L26" s="0" t="s">
        <v>353</v>
      </c>
      <c r="N26" s="0" t="s">
        <v>354</v>
      </c>
      <c r="O26" s="0" t="s">
        <v>4</v>
      </c>
      <c r="P26" s="26" t="s">
        <v>105</v>
      </c>
      <c r="Q26" s="28" t="s">
        <v>108</v>
      </c>
      <c r="R26" s="0" t="s">
        <v>177</v>
      </c>
      <c r="S26" s="0" t="s">
        <v>178</v>
      </c>
      <c r="T26" s="0" t="n">
        <v>132</v>
      </c>
    </row>
    <row r="27" customFormat="false" ht="15" hidden="false" customHeight="false" outlineLevel="0" collapsed="false">
      <c r="A27" s="0" t="s">
        <v>355</v>
      </c>
      <c r="B27" s="26" t="s">
        <v>356</v>
      </c>
      <c r="C27" s="27" t="s">
        <v>357</v>
      </c>
      <c r="D27" s="0" t="n">
        <f aca="false">IF(C27="",0,LEN(C27))</f>
        <v>61</v>
      </c>
      <c r="E27" s="27" t="s">
        <v>358</v>
      </c>
      <c r="F27" s="0" t="n">
        <f aca="false">IF(E27="",0,LEN(E27))</f>
        <v>166</v>
      </c>
      <c r="G27" s="0" t="s">
        <v>359</v>
      </c>
      <c r="H27" s="0" t="n">
        <f aca="false">IF(G27="",0,LEN(G27))</f>
        <v>61</v>
      </c>
      <c r="I27" s="0" t="s">
        <v>360</v>
      </c>
      <c r="J27" s="26" t="s">
        <v>102</v>
      </c>
      <c r="K27" s="0" t="s">
        <v>361</v>
      </c>
      <c r="L27" s="0" t="s">
        <v>362</v>
      </c>
      <c r="N27" s="0" t="s">
        <v>363</v>
      </c>
      <c r="O27" s="0" t="s">
        <v>4</v>
      </c>
      <c r="P27" s="26" t="s">
        <v>105</v>
      </c>
      <c r="Q27" s="28" t="s">
        <v>108</v>
      </c>
      <c r="R27" s="0" t="s">
        <v>177</v>
      </c>
      <c r="S27" s="0" t="s">
        <v>178</v>
      </c>
    </row>
    <row r="28" customFormat="false" ht="15" hidden="false" customHeight="false" outlineLevel="0" collapsed="false">
      <c r="A28" s="0" t="s">
        <v>364</v>
      </c>
      <c r="B28" s="26" t="s">
        <v>356</v>
      </c>
      <c r="C28" s="0" t="s">
        <v>365</v>
      </c>
      <c r="D28" s="0" t="n">
        <f aca="false">IF(C28="",0,LEN(C28))</f>
        <v>53</v>
      </c>
      <c r="E28" s="27" t="s">
        <v>366</v>
      </c>
      <c r="F28" s="0" t="n">
        <f aca="false">IF(E28="",0,LEN(E28))</f>
        <v>167</v>
      </c>
      <c r="G28" s="0" t="s">
        <v>367</v>
      </c>
      <c r="H28" s="0" t="n">
        <f aca="false">IF(G28="",0,LEN(G28))</f>
        <v>36</v>
      </c>
      <c r="I28" s="0" t="s">
        <v>368</v>
      </c>
      <c r="J28" s="26" t="s">
        <v>102</v>
      </c>
      <c r="K28" s="0" t="s">
        <v>369</v>
      </c>
      <c r="L28" s="0" t="s">
        <v>370</v>
      </c>
      <c r="N28" s="0" t="s">
        <v>363</v>
      </c>
      <c r="O28" s="0" t="s">
        <v>4</v>
      </c>
      <c r="P28" s="26" t="s">
        <v>105</v>
      </c>
      <c r="Q28" s="28" t="s">
        <v>108</v>
      </c>
      <c r="R28" s="0" t="s">
        <v>177</v>
      </c>
      <c r="S28" s="0" t="s">
        <v>178</v>
      </c>
    </row>
    <row r="29" customFormat="false" ht="15" hidden="false" customHeight="false" outlineLevel="0" collapsed="false">
      <c r="A29" s="0" t="s">
        <v>371</v>
      </c>
      <c r="B29" s="26" t="s">
        <v>146</v>
      </c>
      <c r="C29" s="0" t="s">
        <v>372</v>
      </c>
      <c r="D29" s="0" t="n">
        <f aca="false">IF(C29="",0,LEN(C29))</f>
        <v>57</v>
      </c>
      <c r="E29" s="0" t="s">
        <v>373</v>
      </c>
      <c r="F29" s="0" t="n">
        <f aca="false">IF(E29="",0,LEN(E29))</f>
        <v>124</v>
      </c>
      <c r="G29" s="0" t="s">
        <v>374</v>
      </c>
      <c r="H29" s="0" t="n">
        <f aca="false">IF(G29="",0,LEN(G29))</f>
        <v>23</v>
      </c>
      <c r="I29" s="0" t="s">
        <v>375</v>
      </c>
      <c r="J29" s="26" t="s">
        <v>123</v>
      </c>
      <c r="K29" s="0" t="s">
        <v>376</v>
      </c>
      <c r="L29" s="0" t="s">
        <v>377</v>
      </c>
      <c r="N29" s="0" t="s">
        <v>378</v>
      </c>
      <c r="O29" s="0" t="s">
        <v>4</v>
      </c>
      <c r="P29" s="26" t="s">
        <v>105</v>
      </c>
      <c r="Q29" s="28" t="s">
        <v>108</v>
      </c>
      <c r="R29" s="0" t="s">
        <v>177</v>
      </c>
      <c r="S29" s="0" t="s">
        <v>178</v>
      </c>
      <c r="T29" s="0" t="n">
        <v>133</v>
      </c>
    </row>
    <row r="30" customFormat="false" ht="15" hidden="false" customHeight="false" outlineLevel="0" collapsed="false">
      <c r="A30" s="0" t="s">
        <v>379</v>
      </c>
      <c r="B30" s="26" t="s">
        <v>142</v>
      </c>
      <c r="C30" s="27" t="s">
        <v>380</v>
      </c>
      <c r="D30" s="0" t="n">
        <f aca="false">IF(C30="",0,LEN(C30))</f>
        <v>61</v>
      </c>
      <c r="E30" s="0" t="s">
        <v>381</v>
      </c>
      <c r="F30" s="0" t="n">
        <f aca="false">IF(E30="",0,LEN(E30))</f>
        <v>141</v>
      </c>
      <c r="G30" s="0" t="s">
        <v>382</v>
      </c>
      <c r="H30" s="0" t="n">
        <f aca="false">IF(G30="",0,LEN(G30))</f>
        <v>42</v>
      </c>
      <c r="I30" s="0" t="s">
        <v>383</v>
      </c>
      <c r="J30" s="26" t="s">
        <v>116</v>
      </c>
      <c r="K30" s="0" t="s">
        <v>384</v>
      </c>
      <c r="L30" s="0" t="s">
        <v>385</v>
      </c>
      <c r="N30" s="0" t="s">
        <v>386</v>
      </c>
      <c r="O30" s="0" t="s">
        <v>4</v>
      </c>
      <c r="P30" s="26" t="s">
        <v>105</v>
      </c>
      <c r="Q30" s="29" t="s">
        <v>192</v>
      </c>
      <c r="R30" s="0" t="s">
        <v>177</v>
      </c>
    </row>
    <row r="31" customFormat="false" ht="15" hidden="false" customHeight="false" outlineLevel="0" collapsed="false">
      <c r="A31" s="0" t="s">
        <v>387</v>
      </c>
      <c r="B31" s="26" t="s">
        <v>169</v>
      </c>
      <c r="C31" s="0" t="s">
        <v>388</v>
      </c>
      <c r="D31" s="0" t="n">
        <f aca="false">IF(C31="",0,LEN(C31))</f>
        <v>56</v>
      </c>
      <c r="E31" s="0" t="s">
        <v>389</v>
      </c>
      <c r="F31" s="0" t="n">
        <f aca="false">IF(E31="",0,LEN(E31))</f>
        <v>138</v>
      </c>
      <c r="G31" s="0" t="s">
        <v>390</v>
      </c>
      <c r="H31" s="0" t="n">
        <f aca="false">IF(G31="",0,LEN(G31))</f>
        <v>31</v>
      </c>
      <c r="I31" s="0" t="s">
        <v>391</v>
      </c>
      <c r="J31" s="26" t="s">
        <v>102</v>
      </c>
      <c r="K31" s="0" t="s">
        <v>392</v>
      </c>
      <c r="L31" s="0" t="s">
        <v>393</v>
      </c>
      <c r="N31" s="0" t="s">
        <v>394</v>
      </c>
      <c r="O31" s="0" t="s">
        <v>4</v>
      </c>
      <c r="P31" s="26" t="s">
        <v>105</v>
      </c>
      <c r="Q31" s="28" t="s">
        <v>108</v>
      </c>
      <c r="R31" s="0" t="s">
        <v>177</v>
      </c>
      <c r="S31" s="0" t="s">
        <v>178</v>
      </c>
      <c r="T31" s="0" t="n">
        <v>132</v>
      </c>
    </row>
    <row r="32" customFormat="false" ht="15" hidden="false" customHeight="false" outlineLevel="0" collapsed="false">
      <c r="A32" s="0" t="s">
        <v>395</v>
      </c>
      <c r="B32" s="26" t="s">
        <v>297</v>
      </c>
      <c r="C32" s="0" t="s">
        <v>396</v>
      </c>
      <c r="D32" s="0" t="n">
        <f aca="false">IF(C32="",0,LEN(C32))</f>
        <v>44</v>
      </c>
      <c r="E32" s="0" t="s">
        <v>397</v>
      </c>
      <c r="F32" s="0" t="n">
        <f aca="false">IF(E32="",0,LEN(E32))</f>
        <v>126</v>
      </c>
      <c r="G32" s="0" t="s">
        <v>398</v>
      </c>
      <c r="H32" s="0" t="n">
        <f aca="false">IF(G32="",0,LEN(G32))</f>
        <v>46</v>
      </c>
      <c r="I32" s="0" t="s">
        <v>399</v>
      </c>
      <c r="J32" s="26" t="s">
        <v>109</v>
      </c>
      <c r="K32" s="0" t="s">
        <v>400</v>
      </c>
      <c r="L32" s="0" t="s">
        <v>401</v>
      </c>
      <c r="N32" s="0" t="s">
        <v>207</v>
      </c>
      <c r="O32" s="0" t="s">
        <v>4</v>
      </c>
      <c r="P32" s="26" t="s">
        <v>105</v>
      </c>
      <c r="Q32" s="28" t="s">
        <v>108</v>
      </c>
      <c r="R32" s="0" t="s">
        <v>177</v>
      </c>
      <c r="S32" s="0" t="s">
        <v>178</v>
      </c>
    </row>
    <row r="33" customFormat="false" ht="15" hidden="false" customHeight="false" outlineLevel="0" collapsed="false">
      <c r="A33" s="0" t="s">
        <v>402</v>
      </c>
      <c r="B33" s="26" t="s">
        <v>297</v>
      </c>
      <c r="C33" s="0" t="s">
        <v>403</v>
      </c>
      <c r="D33" s="0" t="n">
        <f aca="false">IF(C33="",0,LEN(C33))</f>
        <v>44</v>
      </c>
      <c r="E33" s="0" t="s">
        <v>404</v>
      </c>
      <c r="F33" s="0" t="n">
        <f aca="false">IF(E33="",0,LEN(E33))</f>
        <v>150</v>
      </c>
      <c r="G33" s="0" t="s">
        <v>405</v>
      </c>
      <c r="H33" s="0" t="n">
        <f aca="false">IF(G33="",0,LEN(G33))</f>
        <v>46</v>
      </c>
      <c r="I33" s="0" t="s">
        <v>406</v>
      </c>
      <c r="J33" s="26" t="s">
        <v>109</v>
      </c>
      <c r="K33" s="0" t="s">
        <v>407</v>
      </c>
      <c r="L33" s="0" t="s">
        <v>408</v>
      </c>
      <c r="N33" s="0" t="s">
        <v>207</v>
      </c>
      <c r="O33" s="0" t="s">
        <v>4</v>
      </c>
      <c r="P33" s="26" t="s">
        <v>105</v>
      </c>
      <c r="Q33" s="28" t="s">
        <v>108</v>
      </c>
      <c r="R33" s="0" t="s">
        <v>177</v>
      </c>
      <c r="S33" s="0" t="s">
        <v>178</v>
      </c>
    </row>
    <row r="34" customFormat="false" ht="15" hidden="false" customHeight="false" outlineLevel="0" collapsed="false">
      <c r="A34" s="0" t="s">
        <v>409</v>
      </c>
      <c r="B34" s="26" t="s">
        <v>297</v>
      </c>
      <c r="C34" s="0" t="s">
        <v>410</v>
      </c>
      <c r="D34" s="0" t="n">
        <f aca="false">IF(C34="",0,LEN(C34))</f>
        <v>40</v>
      </c>
      <c r="E34" s="0" t="s">
        <v>411</v>
      </c>
      <c r="F34" s="0" t="n">
        <f aca="false">IF(E34="",0,LEN(E34))</f>
        <v>140</v>
      </c>
      <c r="G34" s="0" t="s">
        <v>412</v>
      </c>
      <c r="H34" s="0" t="n">
        <f aca="false">IF(G34="",0,LEN(G34))</f>
        <v>42</v>
      </c>
      <c r="I34" s="0" t="s">
        <v>413</v>
      </c>
      <c r="J34" s="26" t="s">
        <v>109</v>
      </c>
      <c r="K34" s="0" t="s">
        <v>414</v>
      </c>
      <c r="L34" s="0" t="s">
        <v>415</v>
      </c>
      <c r="N34" s="0" t="s">
        <v>207</v>
      </c>
      <c r="O34" s="0" t="s">
        <v>4</v>
      </c>
      <c r="P34" s="26" t="s">
        <v>105</v>
      </c>
      <c r="Q34" s="28" t="s">
        <v>108</v>
      </c>
      <c r="R34" s="0" t="s">
        <v>177</v>
      </c>
      <c r="S34" s="0" t="s">
        <v>178</v>
      </c>
    </row>
    <row r="35" customFormat="false" ht="15" hidden="false" customHeight="false" outlineLevel="0" collapsed="false">
      <c r="A35" s="0" t="s">
        <v>416</v>
      </c>
      <c r="B35" s="26" t="s">
        <v>297</v>
      </c>
      <c r="C35" s="0" t="s">
        <v>417</v>
      </c>
      <c r="D35" s="0" t="n">
        <f aca="false">IF(C35="",0,LEN(C35))</f>
        <v>55</v>
      </c>
      <c r="E35" s="0" t="s">
        <v>418</v>
      </c>
      <c r="F35" s="0" t="n">
        <f aca="false">IF(E35="",0,LEN(E35))</f>
        <v>148</v>
      </c>
      <c r="G35" s="0" t="s">
        <v>419</v>
      </c>
      <c r="H35" s="0" t="n">
        <f aca="false">IF(G35="",0,LEN(G35))</f>
        <v>37</v>
      </c>
      <c r="I35" s="0" t="s">
        <v>420</v>
      </c>
      <c r="J35" s="26" t="s">
        <v>109</v>
      </c>
      <c r="K35" s="0" t="s">
        <v>421</v>
      </c>
      <c r="L35" s="0" t="s">
        <v>422</v>
      </c>
      <c r="N35" s="0" t="s">
        <v>207</v>
      </c>
      <c r="O35" s="0" t="s">
        <v>4</v>
      </c>
      <c r="P35" s="26" t="s">
        <v>105</v>
      </c>
      <c r="Q35" s="28" t="s">
        <v>108</v>
      </c>
      <c r="R35" s="0" t="s">
        <v>177</v>
      </c>
      <c r="S35" s="0" t="s">
        <v>178</v>
      </c>
    </row>
    <row r="36" customFormat="false" ht="15" hidden="false" customHeight="false" outlineLevel="0" collapsed="false">
      <c r="A36" s="0" t="s">
        <v>423</v>
      </c>
      <c r="B36" s="26" t="s">
        <v>297</v>
      </c>
      <c r="C36" s="0" t="s">
        <v>424</v>
      </c>
      <c r="D36" s="0" t="n">
        <f aca="false">IF(C36="",0,LEN(C36))</f>
        <v>44</v>
      </c>
      <c r="E36" s="0" t="s">
        <v>425</v>
      </c>
      <c r="F36" s="0" t="n">
        <f aca="false">IF(E36="",0,LEN(E36))</f>
        <v>147</v>
      </c>
      <c r="G36" s="0" t="s">
        <v>426</v>
      </c>
      <c r="H36" s="0" t="n">
        <f aca="false">IF(G36="",0,LEN(G36))</f>
        <v>46</v>
      </c>
      <c r="I36" s="0" t="s">
        <v>427</v>
      </c>
      <c r="J36" s="26" t="s">
        <v>109</v>
      </c>
      <c r="K36" s="0" t="s">
        <v>428</v>
      </c>
      <c r="L36" s="0" t="s">
        <v>429</v>
      </c>
      <c r="N36" s="0" t="s">
        <v>207</v>
      </c>
      <c r="O36" s="0" t="s">
        <v>4</v>
      </c>
      <c r="P36" s="26" t="s">
        <v>105</v>
      </c>
      <c r="Q36" s="29" t="s">
        <v>192</v>
      </c>
      <c r="R36" s="0" t="s">
        <v>177</v>
      </c>
    </row>
    <row r="37" customFormat="false" ht="15" hidden="false" customHeight="false" outlineLevel="0" collapsed="false">
      <c r="A37" s="0" t="s">
        <v>430</v>
      </c>
      <c r="B37" s="26" t="s">
        <v>289</v>
      </c>
      <c r="C37" s="0" t="s">
        <v>431</v>
      </c>
      <c r="D37" s="0" t="n">
        <f aca="false">IF(C37="",0,LEN(C37))</f>
        <v>59</v>
      </c>
      <c r="E37" s="0" t="s">
        <v>432</v>
      </c>
      <c r="F37" s="0" t="n">
        <f aca="false">IF(E37="",0,LEN(E37))</f>
        <v>145</v>
      </c>
      <c r="G37" s="0" t="s">
        <v>433</v>
      </c>
      <c r="H37" s="0" t="n">
        <f aca="false">IF(G37="",0,LEN(G37))</f>
        <v>44</v>
      </c>
      <c r="I37" s="0" t="s">
        <v>434</v>
      </c>
      <c r="J37" s="26" t="s">
        <v>109</v>
      </c>
      <c r="K37" s="0" t="s">
        <v>435</v>
      </c>
      <c r="L37" s="0" t="s">
        <v>436</v>
      </c>
      <c r="N37" s="0" t="s">
        <v>207</v>
      </c>
      <c r="O37" s="0" t="s">
        <v>4</v>
      </c>
      <c r="P37" s="26" t="s">
        <v>105</v>
      </c>
      <c r="Q37" s="29" t="s">
        <v>192</v>
      </c>
      <c r="R37" s="0" t="s">
        <v>177</v>
      </c>
    </row>
    <row r="38" customFormat="false" ht="15" hidden="false" customHeight="false" outlineLevel="0" collapsed="false">
      <c r="A38" s="0" t="s">
        <v>437</v>
      </c>
      <c r="B38" s="26" t="s">
        <v>297</v>
      </c>
      <c r="C38" s="0" t="s">
        <v>438</v>
      </c>
      <c r="D38" s="0" t="n">
        <f aca="false">IF(C38="",0,LEN(C38))</f>
        <v>41</v>
      </c>
      <c r="E38" s="0" t="s">
        <v>439</v>
      </c>
      <c r="F38" s="0" t="n">
        <f aca="false">IF(E38="",0,LEN(E38))</f>
        <v>155</v>
      </c>
      <c r="G38" s="0" t="s">
        <v>440</v>
      </c>
      <c r="H38" s="0" t="n">
        <f aca="false">IF(G38="",0,LEN(G38))</f>
        <v>43</v>
      </c>
      <c r="I38" s="0" t="s">
        <v>441</v>
      </c>
      <c r="J38" s="26" t="s">
        <v>109</v>
      </c>
      <c r="K38" s="0" t="s">
        <v>442</v>
      </c>
      <c r="L38" s="0" t="s">
        <v>443</v>
      </c>
      <c r="N38" s="0" t="s">
        <v>207</v>
      </c>
      <c r="O38" s="0" t="s">
        <v>4</v>
      </c>
      <c r="P38" s="26" t="s">
        <v>105</v>
      </c>
      <c r="Q38" s="28" t="s">
        <v>108</v>
      </c>
      <c r="R38" s="0" t="s">
        <v>177</v>
      </c>
      <c r="S38" s="0" t="s">
        <v>178</v>
      </c>
    </row>
    <row r="39" customFormat="false" ht="15" hidden="false" customHeight="false" outlineLevel="0" collapsed="false">
      <c r="A39" s="0" t="s">
        <v>444</v>
      </c>
      <c r="B39" s="26" t="s">
        <v>169</v>
      </c>
      <c r="C39" s="0" t="s">
        <v>445</v>
      </c>
      <c r="D39" s="0" t="n">
        <f aca="false">IF(C39="",0,LEN(C39))</f>
        <v>60</v>
      </c>
      <c r="E39" s="0" t="s">
        <v>446</v>
      </c>
      <c r="F39" s="0" t="n">
        <f aca="false">IF(E39="",0,LEN(E39))</f>
        <v>135</v>
      </c>
      <c r="G39" s="0" t="s">
        <v>447</v>
      </c>
      <c r="H39" s="0" t="n">
        <f aca="false">IF(G39="",0,LEN(G39))</f>
        <v>21</v>
      </c>
      <c r="I39" s="0" t="s">
        <v>448</v>
      </c>
      <c r="J39" s="26" t="s">
        <v>123</v>
      </c>
      <c r="K39" s="0" t="s">
        <v>449</v>
      </c>
      <c r="L39" s="0" t="s">
        <v>450</v>
      </c>
      <c r="N39" s="0" t="s">
        <v>451</v>
      </c>
      <c r="O39" s="0" t="s">
        <v>4</v>
      </c>
      <c r="P39" s="26" t="s">
        <v>105</v>
      </c>
      <c r="Q39" s="28" t="s">
        <v>108</v>
      </c>
      <c r="R39" s="0" t="s">
        <v>177</v>
      </c>
      <c r="S39" s="0" t="s">
        <v>178</v>
      </c>
      <c r="T39" s="0" t="n">
        <v>133</v>
      </c>
    </row>
    <row r="40" customFormat="false" ht="15" hidden="false" customHeight="false" outlineLevel="0" collapsed="false">
      <c r="A40" s="0" t="s">
        <v>452</v>
      </c>
      <c r="B40" s="26" t="s">
        <v>169</v>
      </c>
      <c r="C40" s="0" t="s">
        <v>453</v>
      </c>
      <c r="D40" s="0" t="n">
        <f aca="false">IF(C40="",0,LEN(C40))</f>
        <v>44</v>
      </c>
      <c r="E40" s="0" t="s">
        <v>454</v>
      </c>
      <c r="F40" s="0" t="n">
        <f aca="false">IF(E40="",0,LEN(E40))</f>
        <v>123</v>
      </c>
      <c r="G40" s="0" t="s">
        <v>455</v>
      </c>
      <c r="H40" s="0" t="n">
        <f aca="false">IF(G40="",0,LEN(G40))</f>
        <v>22</v>
      </c>
      <c r="I40" s="0" t="s">
        <v>456</v>
      </c>
      <c r="J40" s="26" t="s">
        <v>123</v>
      </c>
      <c r="L40" s="0" t="s">
        <v>457</v>
      </c>
      <c r="N40" s="0" t="s">
        <v>458</v>
      </c>
      <c r="O40" s="0" t="s">
        <v>4</v>
      </c>
      <c r="P40" s="26" t="s">
        <v>105</v>
      </c>
      <c r="Q40" s="28" t="s">
        <v>108</v>
      </c>
      <c r="R40" s="0" t="s">
        <v>177</v>
      </c>
      <c r="S40" s="0" t="s">
        <v>178</v>
      </c>
      <c r="T40" s="0" t="n">
        <v>132</v>
      </c>
    </row>
    <row r="41" customFormat="false" ht="15" hidden="false" customHeight="false" outlineLevel="0" collapsed="false">
      <c r="A41" s="0" t="s">
        <v>459</v>
      </c>
      <c r="B41" s="26" t="s">
        <v>297</v>
      </c>
      <c r="C41" s="0" t="s">
        <v>460</v>
      </c>
      <c r="D41" s="0" t="n">
        <f aca="false">IF(C41="",0,LEN(C41))</f>
        <v>59</v>
      </c>
      <c r="E41" s="0" t="s">
        <v>461</v>
      </c>
      <c r="F41" s="0" t="n">
        <f aca="false">IF(E41="",0,LEN(E41))</f>
        <v>137</v>
      </c>
      <c r="G41" s="0" t="s">
        <v>462</v>
      </c>
      <c r="H41" s="0" t="n">
        <f aca="false">IF(G41="",0,LEN(G41))</f>
        <v>41</v>
      </c>
      <c r="I41" s="0" t="s">
        <v>463</v>
      </c>
      <c r="J41" s="26" t="s">
        <v>109</v>
      </c>
      <c r="K41" s="0" t="s">
        <v>464</v>
      </c>
      <c r="L41" s="0" t="s">
        <v>465</v>
      </c>
      <c r="N41" s="0" t="s">
        <v>207</v>
      </c>
      <c r="O41" s="0" t="s">
        <v>4</v>
      </c>
      <c r="P41" s="26" t="s">
        <v>105</v>
      </c>
      <c r="Q41" s="28" t="s">
        <v>108</v>
      </c>
      <c r="R41" s="0" t="s">
        <v>177</v>
      </c>
      <c r="S41" s="0" t="s">
        <v>178</v>
      </c>
    </row>
    <row r="42" customFormat="false" ht="15" hidden="false" customHeight="false" outlineLevel="0" collapsed="false">
      <c r="A42" s="0" t="s">
        <v>466</v>
      </c>
      <c r="B42" s="26" t="s">
        <v>297</v>
      </c>
      <c r="C42" s="0" t="s">
        <v>467</v>
      </c>
      <c r="D42" s="0" t="n">
        <f aca="false">IF(C42="",0,LEN(C42))</f>
        <v>58</v>
      </c>
      <c r="E42" s="0" t="s">
        <v>468</v>
      </c>
      <c r="F42" s="0" t="n">
        <f aca="false">IF(E42="",0,LEN(E42))</f>
        <v>147</v>
      </c>
      <c r="G42" s="0" t="s">
        <v>469</v>
      </c>
      <c r="H42" s="0" t="n">
        <f aca="false">IF(G42="",0,LEN(G42))</f>
        <v>40</v>
      </c>
      <c r="I42" s="0" t="s">
        <v>470</v>
      </c>
      <c r="J42" s="26" t="s">
        <v>109</v>
      </c>
      <c r="K42" s="0" t="s">
        <v>471</v>
      </c>
      <c r="L42" s="0" t="s">
        <v>472</v>
      </c>
      <c r="N42" s="0" t="s">
        <v>207</v>
      </c>
      <c r="O42" s="0" t="s">
        <v>4</v>
      </c>
      <c r="P42" s="26" t="s">
        <v>105</v>
      </c>
      <c r="Q42" s="28" t="s">
        <v>108</v>
      </c>
      <c r="R42" s="0" t="s">
        <v>177</v>
      </c>
      <c r="S42" s="0" t="s">
        <v>178</v>
      </c>
    </row>
    <row r="43" customFormat="false" ht="15" hidden="false" customHeight="false" outlineLevel="0" collapsed="false">
      <c r="B43" s="26"/>
      <c r="J43" s="26"/>
      <c r="P43" s="26"/>
    </row>
    <row r="44" customFormat="false" ht="15" hidden="false" customHeight="false" outlineLevel="0" collapsed="false">
      <c r="B44" s="26"/>
      <c r="J44" s="26"/>
      <c r="P44" s="26"/>
    </row>
    <row r="45" customFormat="false" ht="15" hidden="false" customHeight="false" outlineLevel="0" collapsed="false">
      <c r="B45" s="26"/>
      <c r="J45" s="26"/>
      <c r="P45" s="26"/>
    </row>
    <row r="46" customFormat="false" ht="15" hidden="false" customHeight="false" outlineLevel="0" collapsed="false">
      <c r="B46" s="26"/>
      <c r="J46" s="26"/>
      <c r="P46" s="26"/>
    </row>
    <row r="47" customFormat="false" ht="15" hidden="false" customHeight="false" outlineLevel="0" collapsed="false">
      <c r="B47" s="26"/>
      <c r="J47" s="26"/>
      <c r="P47" s="26"/>
    </row>
    <row r="48" customFormat="false" ht="15" hidden="false" customHeight="false" outlineLevel="0" collapsed="false">
      <c r="B48" s="26"/>
      <c r="J48" s="26"/>
      <c r="P48" s="26"/>
    </row>
    <row r="49" customFormat="false" ht="15" hidden="false" customHeight="false" outlineLevel="0" collapsed="false">
      <c r="B49" s="26"/>
      <c r="J49" s="26"/>
      <c r="P49" s="26"/>
    </row>
    <row r="50" customFormat="false" ht="15" hidden="false" customHeight="false" outlineLevel="0" collapsed="false">
      <c r="B50" s="26"/>
      <c r="J50" s="26"/>
      <c r="P50" s="26"/>
    </row>
    <row r="51" customFormat="false" ht="15" hidden="false" customHeight="false" outlineLevel="0" collapsed="false">
      <c r="B51" s="26"/>
      <c r="J51" s="26"/>
      <c r="P51" s="26"/>
    </row>
    <row r="52" customFormat="false" ht="15" hidden="false" customHeight="false" outlineLevel="0" collapsed="false">
      <c r="B52" s="26"/>
      <c r="J52" s="26"/>
      <c r="P52" s="26"/>
    </row>
    <row r="53" customFormat="false" ht="15" hidden="false" customHeight="false" outlineLevel="0" collapsed="false">
      <c r="B53" s="26"/>
      <c r="J53" s="26"/>
      <c r="P53" s="26"/>
    </row>
    <row r="54" customFormat="false" ht="15" hidden="false" customHeight="false" outlineLevel="0" collapsed="false">
      <c r="B54" s="26"/>
      <c r="J54" s="26"/>
      <c r="P54" s="26"/>
    </row>
    <row r="55" customFormat="false" ht="15" hidden="false" customHeight="false" outlineLevel="0" collapsed="false">
      <c r="B55" s="26"/>
      <c r="J55" s="26"/>
      <c r="P55" s="26"/>
    </row>
    <row r="56" customFormat="false" ht="15" hidden="false" customHeight="false" outlineLevel="0" collapsed="false">
      <c r="B56" s="26"/>
      <c r="J56" s="26"/>
      <c r="P56" s="26"/>
    </row>
    <row r="57" customFormat="false" ht="15" hidden="false" customHeight="false" outlineLevel="0" collapsed="false">
      <c r="B57" s="26"/>
      <c r="J57" s="26"/>
      <c r="P57" s="26"/>
    </row>
    <row r="58" customFormat="false" ht="15" hidden="false" customHeight="false" outlineLevel="0" collapsed="false">
      <c r="B58" s="26"/>
      <c r="J58" s="26"/>
      <c r="P58" s="26"/>
    </row>
    <row r="59" customFormat="false" ht="15" hidden="false" customHeight="false" outlineLevel="0" collapsed="false">
      <c r="B59" s="26"/>
      <c r="J59" s="26"/>
      <c r="P59" s="26"/>
    </row>
    <row r="60" customFormat="false" ht="15" hidden="false" customHeight="false" outlineLevel="0" collapsed="false">
      <c r="B60" s="26"/>
      <c r="J60" s="26"/>
      <c r="P60" s="26"/>
    </row>
    <row r="61" customFormat="false" ht="15" hidden="false" customHeight="false" outlineLevel="0" collapsed="false">
      <c r="B61" s="26"/>
      <c r="J61" s="26"/>
      <c r="P61" s="26"/>
    </row>
    <row r="62" customFormat="false" ht="15" hidden="false" customHeight="false" outlineLevel="0" collapsed="false">
      <c r="B62" s="26"/>
      <c r="J62" s="26"/>
      <c r="P62" s="26"/>
    </row>
    <row r="63" customFormat="false" ht="15" hidden="false" customHeight="false" outlineLevel="0" collapsed="false">
      <c r="B63" s="26"/>
      <c r="J63" s="26"/>
      <c r="P63" s="26"/>
    </row>
    <row r="64" customFormat="false" ht="15" hidden="false" customHeight="false" outlineLevel="0" collapsed="false">
      <c r="B64" s="26"/>
      <c r="J64" s="26"/>
      <c r="P64" s="26"/>
    </row>
    <row r="65" customFormat="false" ht="15" hidden="false" customHeight="false" outlineLevel="0" collapsed="false">
      <c r="B65" s="26"/>
      <c r="J65" s="26"/>
      <c r="P65" s="26"/>
    </row>
    <row r="66" customFormat="false" ht="15" hidden="false" customHeight="false" outlineLevel="0" collapsed="false">
      <c r="B66" s="26"/>
      <c r="J66" s="26"/>
      <c r="P66" s="26"/>
    </row>
    <row r="67" customFormat="false" ht="15" hidden="false" customHeight="false" outlineLevel="0" collapsed="false">
      <c r="B67" s="26"/>
      <c r="J67" s="26"/>
      <c r="P67" s="26"/>
    </row>
    <row r="68" customFormat="false" ht="15" hidden="false" customHeight="false" outlineLevel="0" collapsed="false">
      <c r="B68" s="26"/>
      <c r="J68" s="26"/>
      <c r="P68" s="26"/>
    </row>
    <row r="69" customFormat="false" ht="15" hidden="false" customHeight="false" outlineLevel="0" collapsed="false">
      <c r="B69" s="26"/>
      <c r="J69" s="26"/>
      <c r="P69" s="26"/>
    </row>
    <row r="70" customFormat="false" ht="15" hidden="false" customHeight="false" outlineLevel="0" collapsed="false">
      <c r="B70" s="26"/>
      <c r="J70" s="26"/>
      <c r="P70" s="26"/>
    </row>
    <row r="71" customFormat="false" ht="15" hidden="false" customHeight="false" outlineLevel="0" collapsed="false">
      <c r="B71" s="26"/>
      <c r="J71" s="26"/>
      <c r="P71" s="26"/>
    </row>
    <row r="72" customFormat="false" ht="15" hidden="false" customHeight="false" outlineLevel="0" collapsed="false">
      <c r="B72" s="26"/>
      <c r="J72" s="26"/>
      <c r="P72" s="26"/>
    </row>
    <row r="73" customFormat="false" ht="15" hidden="false" customHeight="false" outlineLevel="0" collapsed="false">
      <c r="B73" s="26"/>
      <c r="J73" s="26"/>
      <c r="P73" s="26"/>
    </row>
    <row r="74" customFormat="false" ht="15" hidden="false" customHeight="false" outlineLevel="0" collapsed="false">
      <c r="B74" s="26"/>
      <c r="J74" s="26"/>
      <c r="P74" s="26"/>
    </row>
    <row r="75" customFormat="false" ht="15" hidden="false" customHeight="false" outlineLevel="0" collapsed="false">
      <c r="B75" s="26"/>
      <c r="J75" s="26"/>
      <c r="P75" s="26"/>
    </row>
    <row r="76" customFormat="false" ht="15" hidden="false" customHeight="false" outlineLevel="0" collapsed="false">
      <c r="B76" s="26"/>
      <c r="J76" s="26"/>
      <c r="P76" s="26"/>
    </row>
    <row r="77" customFormat="false" ht="15" hidden="false" customHeight="false" outlineLevel="0" collapsed="false">
      <c r="B77" s="26"/>
      <c r="J77" s="26"/>
      <c r="P77" s="26"/>
    </row>
    <row r="78" customFormat="false" ht="15" hidden="false" customHeight="false" outlineLevel="0" collapsed="false">
      <c r="B78" s="26"/>
      <c r="J78" s="26"/>
      <c r="P78" s="26"/>
    </row>
    <row r="79" customFormat="false" ht="15" hidden="false" customHeight="false" outlineLevel="0" collapsed="false">
      <c r="B79" s="26"/>
      <c r="J79" s="26"/>
      <c r="P79" s="26"/>
    </row>
    <row r="80" customFormat="false" ht="15" hidden="false" customHeight="false" outlineLevel="0" collapsed="false">
      <c r="B80" s="26"/>
      <c r="J80" s="26"/>
      <c r="P80" s="26"/>
    </row>
    <row r="81" customFormat="false" ht="15" hidden="false" customHeight="false" outlineLevel="0" collapsed="false">
      <c r="B81" s="26"/>
      <c r="J81" s="26"/>
      <c r="P81" s="26"/>
    </row>
    <row r="82" customFormat="false" ht="15" hidden="false" customHeight="false" outlineLevel="0" collapsed="false">
      <c r="B82" s="26"/>
      <c r="J82" s="26"/>
      <c r="P82" s="26"/>
    </row>
    <row r="83" customFormat="false" ht="15" hidden="false" customHeight="false" outlineLevel="0" collapsed="false">
      <c r="B83" s="26"/>
      <c r="J83" s="26"/>
      <c r="P83" s="26"/>
    </row>
    <row r="84" customFormat="false" ht="15" hidden="false" customHeight="false" outlineLevel="0" collapsed="false">
      <c r="B84" s="26"/>
      <c r="J84" s="26"/>
      <c r="P84" s="26"/>
    </row>
    <row r="85" customFormat="false" ht="15" hidden="false" customHeight="false" outlineLevel="0" collapsed="false">
      <c r="B85" s="26"/>
      <c r="J85" s="26"/>
      <c r="P85" s="26"/>
    </row>
    <row r="86" customFormat="false" ht="15" hidden="false" customHeight="false" outlineLevel="0" collapsed="false">
      <c r="B86" s="26"/>
      <c r="J86" s="26"/>
      <c r="P86" s="26"/>
    </row>
    <row r="87" customFormat="false" ht="15" hidden="false" customHeight="false" outlineLevel="0" collapsed="false">
      <c r="B87" s="26"/>
      <c r="J87" s="26"/>
      <c r="P87" s="26"/>
    </row>
    <row r="88" customFormat="false" ht="15" hidden="false" customHeight="false" outlineLevel="0" collapsed="false">
      <c r="B88" s="26"/>
      <c r="J88" s="26"/>
      <c r="P88" s="26"/>
    </row>
    <row r="89" customFormat="false" ht="15" hidden="false" customHeight="false" outlineLevel="0" collapsed="false">
      <c r="B89" s="26"/>
      <c r="J89" s="26"/>
      <c r="P89" s="26"/>
    </row>
    <row r="90" customFormat="false" ht="15" hidden="false" customHeight="false" outlineLevel="0" collapsed="false">
      <c r="B90" s="26"/>
      <c r="J90" s="26"/>
      <c r="P90" s="26"/>
    </row>
    <row r="91" customFormat="false" ht="15" hidden="false" customHeight="false" outlineLevel="0" collapsed="false">
      <c r="B91" s="26"/>
      <c r="J91" s="26"/>
      <c r="P91" s="26"/>
    </row>
    <row r="92" customFormat="false" ht="15" hidden="false" customHeight="false" outlineLevel="0" collapsed="false">
      <c r="B92" s="26"/>
      <c r="J92" s="26"/>
      <c r="P92" s="26"/>
    </row>
    <row r="93" customFormat="false" ht="15" hidden="false" customHeight="false" outlineLevel="0" collapsed="false">
      <c r="B93" s="26"/>
      <c r="J93" s="26"/>
      <c r="P93" s="26"/>
    </row>
    <row r="94" customFormat="false" ht="15" hidden="false" customHeight="false" outlineLevel="0" collapsed="false">
      <c r="B94" s="26"/>
      <c r="J94" s="26"/>
      <c r="P94" s="26"/>
    </row>
    <row r="95" customFormat="false" ht="15" hidden="false" customHeight="false" outlineLevel="0" collapsed="false">
      <c r="B95" s="26"/>
      <c r="J95" s="26"/>
      <c r="P95" s="26"/>
    </row>
    <row r="96" customFormat="false" ht="15" hidden="false" customHeight="false" outlineLevel="0" collapsed="false">
      <c r="B96" s="26"/>
      <c r="J96" s="26"/>
      <c r="P96" s="26"/>
    </row>
    <row r="97" customFormat="false" ht="15" hidden="false" customHeight="false" outlineLevel="0" collapsed="false">
      <c r="B97" s="26"/>
      <c r="J97" s="26"/>
      <c r="P97" s="26"/>
    </row>
    <row r="98" customFormat="false" ht="15" hidden="false" customHeight="false" outlineLevel="0" collapsed="false">
      <c r="B98" s="26"/>
      <c r="J98" s="26"/>
      <c r="P98" s="26"/>
    </row>
    <row r="99" customFormat="false" ht="15" hidden="false" customHeight="false" outlineLevel="0" collapsed="false">
      <c r="B99" s="26"/>
      <c r="J99" s="26"/>
      <c r="P99" s="26"/>
    </row>
    <row r="100" customFormat="false" ht="15" hidden="false" customHeight="false" outlineLevel="0" collapsed="false">
      <c r="B100" s="26"/>
      <c r="J100" s="26"/>
      <c r="P100" s="26"/>
    </row>
    <row r="101" customFormat="false" ht="15" hidden="false" customHeight="false" outlineLevel="0" collapsed="false">
      <c r="B101" s="26"/>
      <c r="J101" s="26"/>
      <c r="P101" s="26"/>
    </row>
    <row r="102" customFormat="false" ht="15" hidden="false" customHeight="false" outlineLevel="0" collapsed="false">
      <c r="B102" s="26"/>
      <c r="J102" s="26"/>
      <c r="P102" s="26"/>
    </row>
    <row r="103" customFormat="false" ht="15" hidden="false" customHeight="false" outlineLevel="0" collapsed="false">
      <c r="B103" s="26"/>
      <c r="J103" s="26"/>
      <c r="P103" s="26"/>
    </row>
    <row r="104" customFormat="false" ht="15" hidden="false" customHeight="false" outlineLevel="0" collapsed="false">
      <c r="B104" s="26"/>
      <c r="J104" s="26"/>
      <c r="P104" s="26"/>
    </row>
    <row r="105" customFormat="false" ht="15" hidden="false" customHeight="false" outlineLevel="0" collapsed="false">
      <c r="B105" s="26"/>
      <c r="J105" s="26"/>
      <c r="P105" s="26"/>
    </row>
    <row r="106" customFormat="false" ht="15" hidden="false" customHeight="false" outlineLevel="0" collapsed="false">
      <c r="B106" s="26"/>
      <c r="J106" s="26"/>
      <c r="P106" s="26"/>
    </row>
    <row r="107" customFormat="false" ht="15" hidden="false" customHeight="false" outlineLevel="0" collapsed="false">
      <c r="B107" s="26"/>
      <c r="J107" s="26"/>
      <c r="P107" s="26"/>
    </row>
    <row r="108" customFormat="false" ht="15" hidden="false" customHeight="false" outlineLevel="0" collapsed="false">
      <c r="B108" s="26"/>
      <c r="J108" s="26"/>
      <c r="P108" s="26"/>
    </row>
    <row r="109" customFormat="false" ht="15" hidden="false" customHeight="false" outlineLevel="0" collapsed="false">
      <c r="B109" s="26"/>
      <c r="J109" s="26"/>
      <c r="P109" s="26"/>
    </row>
    <row r="110" customFormat="false" ht="15" hidden="false" customHeight="false" outlineLevel="0" collapsed="false">
      <c r="B110" s="26"/>
      <c r="J110" s="26"/>
      <c r="P110" s="26"/>
    </row>
    <row r="111" customFormat="false" ht="15" hidden="false" customHeight="false" outlineLevel="0" collapsed="false">
      <c r="B111" s="26"/>
      <c r="J111" s="26"/>
      <c r="P111" s="26"/>
    </row>
    <row r="112" customFormat="false" ht="15" hidden="false" customHeight="false" outlineLevel="0" collapsed="false">
      <c r="B112" s="26"/>
      <c r="J112" s="26"/>
      <c r="P112" s="26"/>
    </row>
    <row r="113" customFormat="false" ht="15" hidden="false" customHeight="false" outlineLevel="0" collapsed="false">
      <c r="B113" s="26"/>
      <c r="J113" s="26"/>
      <c r="P113" s="26"/>
    </row>
    <row r="114" customFormat="false" ht="15" hidden="false" customHeight="false" outlineLevel="0" collapsed="false">
      <c r="B114" s="26"/>
      <c r="J114" s="26"/>
      <c r="P114" s="26"/>
    </row>
    <row r="115" customFormat="false" ht="15" hidden="false" customHeight="false" outlineLevel="0" collapsed="false">
      <c r="B115" s="26"/>
      <c r="J115" s="26"/>
      <c r="P115" s="26"/>
    </row>
    <row r="116" customFormat="false" ht="15" hidden="false" customHeight="false" outlineLevel="0" collapsed="false">
      <c r="B116" s="26"/>
      <c r="J116" s="26"/>
      <c r="P116" s="26"/>
    </row>
    <row r="117" customFormat="false" ht="15" hidden="false" customHeight="false" outlineLevel="0" collapsed="false">
      <c r="B117" s="26"/>
      <c r="J117" s="26"/>
      <c r="P117" s="26"/>
    </row>
    <row r="118" customFormat="false" ht="15" hidden="false" customHeight="false" outlineLevel="0" collapsed="false">
      <c r="B118" s="26"/>
      <c r="J118" s="26"/>
      <c r="P118" s="26"/>
    </row>
    <row r="119" customFormat="false" ht="15" hidden="false" customHeight="false" outlineLevel="0" collapsed="false">
      <c r="B119" s="26"/>
      <c r="J119" s="26"/>
      <c r="P119" s="26"/>
    </row>
    <row r="120" customFormat="false" ht="15" hidden="false" customHeight="false" outlineLevel="0" collapsed="false">
      <c r="B120" s="26"/>
      <c r="J120" s="26"/>
      <c r="P120" s="26"/>
    </row>
    <row r="121" customFormat="false" ht="15" hidden="false" customHeight="false" outlineLevel="0" collapsed="false">
      <c r="B121" s="26"/>
      <c r="J121" s="26"/>
      <c r="P121" s="26"/>
    </row>
    <row r="122" customFormat="false" ht="15" hidden="false" customHeight="false" outlineLevel="0" collapsed="false">
      <c r="B122" s="26"/>
      <c r="J122" s="26"/>
      <c r="P122" s="26"/>
    </row>
    <row r="123" customFormat="false" ht="15" hidden="false" customHeight="false" outlineLevel="0" collapsed="false">
      <c r="B123" s="26"/>
      <c r="J123" s="26"/>
      <c r="P123" s="26"/>
    </row>
    <row r="124" customFormat="false" ht="15" hidden="false" customHeight="false" outlineLevel="0" collapsed="false">
      <c r="B124" s="26"/>
      <c r="J124" s="26"/>
      <c r="P124" s="26"/>
    </row>
    <row r="125" customFormat="false" ht="15" hidden="false" customHeight="false" outlineLevel="0" collapsed="false">
      <c r="B125" s="26"/>
      <c r="J125" s="26"/>
      <c r="P125" s="26"/>
    </row>
    <row r="126" customFormat="false" ht="15" hidden="false" customHeight="false" outlineLevel="0" collapsed="false">
      <c r="B126" s="26"/>
      <c r="J126" s="26"/>
      <c r="P126" s="26"/>
    </row>
    <row r="127" customFormat="false" ht="15" hidden="false" customHeight="false" outlineLevel="0" collapsed="false">
      <c r="B127" s="26"/>
      <c r="J127" s="26"/>
      <c r="P127" s="26"/>
    </row>
    <row r="128" customFormat="false" ht="15" hidden="false" customHeight="false" outlineLevel="0" collapsed="false">
      <c r="B128" s="26"/>
      <c r="J128" s="26"/>
      <c r="P128" s="26"/>
    </row>
    <row r="129" customFormat="false" ht="15" hidden="false" customHeight="false" outlineLevel="0" collapsed="false">
      <c r="B129" s="26"/>
      <c r="J129" s="26"/>
      <c r="P129" s="26"/>
    </row>
    <row r="130" customFormat="false" ht="15" hidden="false" customHeight="false" outlineLevel="0" collapsed="false">
      <c r="B130" s="26"/>
      <c r="J130" s="26"/>
      <c r="P130" s="26"/>
    </row>
    <row r="131" customFormat="false" ht="15" hidden="false" customHeight="false" outlineLevel="0" collapsed="false">
      <c r="B131" s="26"/>
      <c r="J131" s="26"/>
      <c r="P131" s="26"/>
    </row>
    <row r="132" customFormat="false" ht="15" hidden="false" customHeight="false" outlineLevel="0" collapsed="false">
      <c r="B132" s="26"/>
      <c r="J132" s="26"/>
      <c r="P132" s="26"/>
    </row>
    <row r="133" customFormat="false" ht="15" hidden="false" customHeight="false" outlineLevel="0" collapsed="false">
      <c r="B133" s="26"/>
      <c r="J133" s="26"/>
      <c r="P133" s="26"/>
    </row>
    <row r="134" customFormat="false" ht="15" hidden="false" customHeight="false" outlineLevel="0" collapsed="false">
      <c r="B134" s="26"/>
      <c r="J134" s="26"/>
      <c r="P134" s="26"/>
    </row>
    <row r="135" customFormat="false" ht="15" hidden="false" customHeight="false" outlineLevel="0" collapsed="false">
      <c r="B135" s="26"/>
      <c r="J135" s="26"/>
      <c r="P135" s="26"/>
    </row>
    <row r="136" customFormat="false" ht="15" hidden="false" customHeight="false" outlineLevel="0" collapsed="false">
      <c r="B136" s="26"/>
      <c r="J136" s="26"/>
      <c r="P136" s="26"/>
    </row>
    <row r="137" customFormat="false" ht="15" hidden="false" customHeight="false" outlineLevel="0" collapsed="false">
      <c r="B137" s="26"/>
      <c r="J137" s="26"/>
      <c r="P137" s="26"/>
    </row>
    <row r="138" customFormat="false" ht="15" hidden="false" customHeight="false" outlineLevel="0" collapsed="false">
      <c r="B138" s="26"/>
      <c r="J138" s="26"/>
      <c r="P138" s="26"/>
    </row>
    <row r="139" customFormat="false" ht="15" hidden="false" customHeight="false" outlineLevel="0" collapsed="false">
      <c r="B139" s="26"/>
      <c r="J139" s="26"/>
      <c r="P139" s="26"/>
    </row>
    <row r="140" customFormat="false" ht="15" hidden="false" customHeight="false" outlineLevel="0" collapsed="false">
      <c r="B140" s="26"/>
      <c r="J140" s="26"/>
      <c r="P140" s="26"/>
    </row>
    <row r="141" customFormat="false" ht="15" hidden="false" customHeight="false" outlineLevel="0" collapsed="false">
      <c r="B141" s="26"/>
      <c r="J141" s="26"/>
      <c r="P141" s="26"/>
    </row>
    <row r="142" customFormat="false" ht="15" hidden="false" customHeight="false" outlineLevel="0" collapsed="false">
      <c r="B142" s="26"/>
      <c r="J142" s="26"/>
      <c r="P142" s="26"/>
    </row>
    <row r="143" customFormat="false" ht="15" hidden="false" customHeight="false" outlineLevel="0" collapsed="false">
      <c r="B143" s="26"/>
      <c r="J143" s="26"/>
      <c r="P143" s="26"/>
    </row>
    <row r="144" customFormat="false" ht="15" hidden="false" customHeight="false" outlineLevel="0" collapsed="false">
      <c r="B144" s="26"/>
      <c r="J144" s="26"/>
      <c r="P144" s="26"/>
    </row>
    <row r="145" customFormat="false" ht="15" hidden="false" customHeight="false" outlineLevel="0" collapsed="false">
      <c r="B145" s="26"/>
      <c r="J145" s="26"/>
      <c r="P145" s="26"/>
    </row>
    <row r="146" customFormat="false" ht="15" hidden="false" customHeight="false" outlineLevel="0" collapsed="false">
      <c r="B146" s="26"/>
      <c r="J146" s="26"/>
      <c r="P146" s="26"/>
    </row>
    <row r="147" customFormat="false" ht="15" hidden="false" customHeight="false" outlineLevel="0" collapsed="false">
      <c r="B147" s="26"/>
      <c r="J147" s="26"/>
      <c r="P147" s="26"/>
    </row>
    <row r="148" customFormat="false" ht="15" hidden="false" customHeight="false" outlineLevel="0" collapsed="false">
      <c r="B148" s="26"/>
      <c r="J148" s="26"/>
      <c r="P148" s="26"/>
    </row>
    <row r="149" customFormat="false" ht="15" hidden="false" customHeight="false" outlineLevel="0" collapsed="false">
      <c r="B149" s="26"/>
      <c r="J149" s="26"/>
      <c r="P149" s="26"/>
    </row>
    <row r="150" customFormat="false" ht="15" hidden="false" customHeight="false" outlineLevel="0" collapsed="false">
      <c r="B150" s="26"/>
      <c r="J150" s="26"/>
      <c r="P150" s="26"/>
    </row>
    <row r="151" customFormat="false" ht="15" hidden="false" customHeight="false" outlineLevel="0" collapsed="false">
      <c r="B151" s="26"/>
      <c r="J151" s="26"/>
      <c r="P151" s="26"/>
    </row>
    <row r="152" customFormat="false" ht="15" hidden="false" customHeight="false" outlineLevel="0" collapsed="false">
      <c r="B152" s="26"/>
      <c r="J152" s="26"/>
      <c r="P152" s="26"/>
    </row>
    <row r="153" customFormat="false" ht="15" hidden="false" customHeight="false" outlineLevel="0" collapsed="false">
      <c r="B153" s="26"/>
      <c r="J153" s="26"/>
      <c r="P153" s="26"/>
    </row>
    <row r="154" customFormat="false" ht="15" hidden="false" customHeight="false" outlineLevel="0" collapsed="false">
      <c r="B154" s="26"/>
      <c r="J154" s="26"/>
      <c r="P154" s="26"/>
    </row>
    <row r="155" customFormat="false" ht="15" hidden="false" customHeight="false" outlineLevel="0" collapsed="false">
      <c r="B155" s="26"/>
      <c r="J155" s="26"/>
      <c r="P155" s="26"/>
    </row>
    <row r="156" customFormat="false" ht="15" hidden="false" customHeight="false" outlineLevel="0" collapsed="false">
      <c r="B156" s="26"/>
      <c r="J156" s="26"/>
      <c r="P156" s="26"/>
    </row>
    <row r="157" customFormat="false" ht="15" hidden="false" customHeight="false" outlineLevel="0" collapsed="false">
      <c r="B157" s="26"/>
      <c r="J157" s="26"/>
      <c r="P157" s="26"/>
    </row>
    <row r="158" customFormat="false" ht="15" hidden="false" customHeight="false" outlineLevel="0" collapsed="false">
      <c r="B158" s="26"/>
      <c r="J158" s="26"/>
      <c r="P158" s="26"/>
    </row>
    <row r="159" customFormat="false" ht="15" hidden="false" customHeight="false" outlineLevel="0" collapsed="false">
      <c r="B159" s="26"/>
      <c r="J159" s="26"/>
      <c r="P159" s="26"/>
    </row>
    <row r="160" customFormat="false" ht="15" hidden="false" customHeight="false" outlineLevel="0" collapsed="false">
      <c r="B160" s="26"/>
      <c r="J160" s="26"/>
      <c r="P160" s="26"/>
    </row>
    <row r="161" customFormat="false" ht="15" hidden="false" customHeight="false" outlineLevel="0" collapsed="false">
      <c r="B161" s="26"/>
      <c r="J161" s="26"/>
      <c r="P161" s="26"/>
    </row>
    <row r="162" customFormat="false" ht="15" hidden="false" customHeight="false" outlineLevel="0" collapsed="false">
      <c r="B162" s="26"/>
      <c r="J162" s="26"/>
      <c r="P162" s="26"/>
    </row>
    <row r="163" customFormat="false" ht="15" hidden="false" customHeight="false" outlineLevel="0" collapsed="false">
      <c r="B163" s="26"/>
      <c r="J163" s="26"/>
      <c r="P163" s="26"/>
    </row>
    <row r="164" customFormat="false" ht="15" hidden="false" customHeight="false" outlineLevel="0" collapsed="false">
      <c r="B164" s="26"/>
      <c r="J164" s="26"/>
      <c r="P164" s="26"/>
    </row>
    <row r="165" customFormat="false" ht="15" hidden="false" customHeight="false" outlineLevel="0" collapsed="false">
      <c r="B165" s="26"/>
      <c r="J165" s="26"/>
      <c r="P165" s="26"/>
    </row>
    <row r="166" customFormat="false" ht="15" hidden="false" customHeight="false" outlineLevel="0" collapsed="false">
      <c r="B166" s="26"/>
      <c r="J166" s="26"/>
      <c r="P166" s="26"/>
    </row>
    <row r="167" customFormat="false" ht="15" hidden="false" customHeight="false" outlineLevel="0" collapsed="false">
      <c r="B167" s="26"/>
      <c r="J167" s="26"/>
      <c r="P167" s="26"/>
    </row>
    <row r="168" customFormat="false" ht="15" hidden="false" customHeight="false" outlineLevel="0" collapsed="false">
      <c r="B168" s="26"/>
      <c r="J168" s="26"/>
      <c r="P168" s="26"/>
    </row>
    <row r="169" customFormat="false" ht="15" hidden="false" customHeight="false" outlineLevel="0" collapsed="false">
      <c r="B169" s="26"/>
      <c r="J169" s="26"/>
      <c r="P169" s="26"/>
    </row>
    <row r="170" customFormat="false" ht="15" hidden="false" customHeight="false" outlineLevel="0" collapsed="false">
      <c r="B170" s="26"/>
      <c r="J170" s="26"/>
      <c r="P170" s="26"/>
    </row>
    <row r="171" customFormat="false" ht="15" hidden="false" customHeight="false" outlineLevel="0" collapsed="false">
      <c r="B171" s="26"/>
      <c r="J171" s="26"/>
      <c r="P171" s="26"/>
    </row>
    <row r="172" customFormat="false" ht="15" hidden="false" customHeight="false" outlineLevel="0" collapsed="false">
      <c r="B172" s="26"/>
      <c r="J172" s="26"/>
      <c r="P172" s="26"/>
    </row>
    <row r="173" customFormat="false" ht="15" hidden="false" customHeight="false" outlineLevel="0" collapsed="false">
      <c r="B173" s="26"/>
      <c r="J173" s="26"/>
      <c r="P173" s="26"/>
    </row>
    <row r="174" customFormat="false" ht="15" hidden="false" customHeight="false" outlineLevel="0" collapsed="false">
      <c r="B174" s="26"/>
      <c r="J174" s="26"/>
      <c r="P174" s="26"/>
    </row>
    <row r="175" customFormat="false" ht="15" hidden="false" customHeight="false" outlineLevel="0" collapsed="false">
      <c r="B175" s="26"/>
      <c r="J175" s="26"/>
      <c r="P175" s="26"/>
    </row>
    <row r="176" customFormat="false" ht="15" hidden="false" customHeight="false" outlineLevel="0" collapsed="false">
      <c r="B176" s="26"/>
      <c r="J176" s="26"/>
      <c r="P176" s="26"/>
    </row>
    <row r="177" customFormat="false" ht="15" hidden="false" customHeight="false" outlineLevel="0" collapsed="false">
      <c r="B177" s="26"/>
      <c r="J177" s="26"/>
      <c r="P177" s="26"/>
    </row>
    <row r="178" customFormat="false" ht="15" hidden="false" customHeight="false" outlineLevel="0" collapsed="false">
      <c r="B178" s="26"/>
      <c r="J178" s="26"/>
      <c r="P178" s="26"/>
    </row>
    <row r="179" customFormat="false" ht="15" hidden="false" customHeight="false" outlineLevel="0" collapsed="false">
      <c r="B179" s="26"/>
      <c r="J179" s="26"/>
      <c r="P179" s="26"/>
    </row>
    <row r="180" customFormat="false" ht="15" hidden="false" customHeight="false" outlineLevel="0" collapsed="false">
      <c r="B180" s="26"/>
      <c r="J180" s="26"/>
      <c r="P180" s="26"/>
    </row>
    <row r="181" customFormat="false" ht="15" hidden="false" customHeight="false" outlineLevel="0" collapsed="false">
      <c r="B181" s="26"/>
      <c r="J181" s="26"/>
      <c r="P181" s="26"/>
    </row>
    <row r="182" customFormat="false" ht="15" hidden="false" customHeight="false" outlineLevel="0" collapsed="false">
      <c r="B182" s="26"/>
      <c r="J182" s="26"/>
      <c r="P182" s="26"/>
    </row>
    <row r="183" customFormat="false" ht="15" hidden="false" customHeight="false" outlineLevel="0" collapsed="false">
      <c r="B183" s="26"/>
      <c r="J183" s="26"/>
      <c r="P183" s="26"/>
    </row>
    <row r="184" customFormat="false" ht="15" hidden="false" customHeight="false" outlineLevel="0" collapsed="false">
      <c r="B184" s="26"/>
      <c r="J184" s="26"/>
      <c r="P184" s="26"/>
    </row>
    <row r="185" customFormat="false" ht="15" hidden="false" customHeight="false" outlineLevel="0" collapsed="false">
      <c r="B185" s="26"/>
      <c r="J185" s="26"/>
      <c r="P185" s="26"/>
    </row>
    <row r="186" customFormat="false" ht="15" hidden="false" customHeight="false" outlineLevel="0" collapsed="false">
      <c r="B186" s="26"/>
      <c r="J186" s="26"/>
      <c r="P186" s="26"/>
    </row>
    <row r="187" customFormat="false" ht="15" hidden="false" customHeight="false" outlineLevel="0" collapsed="false">
      <c r="B187" s="26"/>
      <c r="J187" s="26"/>
      <c r="P187" s="26"/>
    </row>
    <row r="188" customFormat="false" ht="15" hidden="false" customHeight="false" outlineLevel="0" collapsed="false">
      <c r="B188" s="26"/>
      <c r="J188" s="26"/>
      <c r="P188" s="26"/>
    </row>
    <row r="189" customFormat="false" ht="15" hidden="false" customHeight="false" outlineLevel="0" collapsed="false">
      <c r="B189" s="26"/>
      <c r="J189" s="26"/>
      <c r="P189" s="26"/>
    </row>
    <row r="190" customFormat="false" ht="15" hidden="false" customHeight="false" outlineLevel="0" collapsed="false">
      <c r="B190" s="26"/>
      <c r="J190" s="26"/>
      <c r="P190" s="26"/>
    </row>
    <row r="191" customFormat="false" ht="15" hidden="false" customHeight="false" outlineLevel="0" collapsed="false">
      <c r="B191" s="26"/>
      <c r="J191" s="26"/>
      <c r="P191" s="26"/>
    </row>
    <row r="192" customFormat="false" ht="15" hidden="false" customHeight="false" outlineLevel="0" collapsed="false">
      <c r="B192" s="26"/>
      <c r="J192" s="26"/>
      <c r="P192" s="26"/>
    </row>
    <row r="193" customFormat="false" ht="15" hidden="false" customHeight="false" outlineLevel="0" collapsed="false">
      <c r="B193" s="26"/>
      <c r="J193" s="26"/>
      <c r="P193" s="26"/>
    </row>
    <row r="194" customFormat="false" ht="15" hidden="false" customHeight="false" outlineLevel="0" collapsed="false">
      <c r="B194" s="26"/>
      <c r="J194" s="26"/>
      <c r="P194" s="26"/>
    </row>
    <row r="195" customFormat="false" ht="15" hidden="false" customHeight="false" outlineLevel="0" collapsed="false">
      <c r="B195" s="26"/>
      <c r="J195" s="26"/>
      <c r="P195" s="26"/>
    </row>
    <row r="196" customFormat="false" ht="15" hidden="false" customHeight="false" outlineLevel="0" collapsed="false">
      <c r="B196" s="26"/>
      <c r="J196" s="26"/>
      <c r="P196" s="26"/>
    </row>
    <row r="197" customFormat="false" ht="15" hidden="false" customHeight="false" outlineLevel="0" collapsed="false">
      <c r="B197" s="26"/>
      <c r="J197" s="26"/>
      <c r="P197" s="26"/>
    </row>
    <row r="198" customFormat="false" ht="15" hidden="false" customHeight="false" outlineLevel="0" collapsed="false">
      <c r="B198" s="26"/>
      <c r="J198" s="26"/>
      <c r="P198" s="26"/>
    </row>
    <row r="199" customFormat="false" ht="15" hidden="false" customHeight="false" outlineLevel="0" collapsed="false">
      <c r="B199" s="26"/>
      <c r="J199" s="26"/>
      <c r="P199" s="26"/>
    </row>
    <row r="200" customFormat="false" ht="15" hidden="false" customHeight="false" outlineLevel="0" collapsed="false">
      <c r="B200" s="26"/>
      <c r="J200" s="26"/>
      <c r="P200" s="26"/>
    </row>
    <row r="201" customFormat="false" ht="15" hidden="false" customHeight="false" outlineLevel="0" collapsed="false">
      <c r="B201" s="26"/>
      <c r="J201" s="26"/>
      <c r="P201" s="26"/>
    </row>
    <row r="202" customFormat="false" ht="15" hidden="false" customHeight="false" outlineLevel="0" collapsed="false">
      <c r="B202" s="26"/>
      <c r="J202" s="26"/>
      <c r="P202" s="26"/>
    </row>
    <row r="203" customFormat="false" ht="15" hidden="false" customHeight="false" outlineLevel="0" collapsed="false">
      <c r="B203" s="26"/>
      <c r="J203" s="26"/>
      <c r="P203" s="26"/>
    </row>
    <row r="204" customFormat="false" ht="15" hidden="false" customHeight="false" outlineLevel="0" collapsed="false">
      <c r="B204" s="26"/>
      <c r="J204" s="26"/>
      <c r="P204" s="26"/>
    </row>
    <row r="205" customFormat="false" ht="15" hidden="false" customHeight="false" outlineLevel="0" collapsed="false">
      <c r="B205" s="26"/>
      <c r="J205" s="26"/>
      <c r="P205" s="26"/>
    </row>
    <row r="206" customFormat="false" ht="15" hidden="false" customHeight="false" outlineLevel="0" collapsed="false">
      <c r="B206" s="26"/>
      <c r="J206" s="26"/>
      <c r="P206" s="26"/>
    </row>
    <row r="207" customFormat="false" ht="15" hidden="false" customHeight="false" outlineLevel="0" collapsed="false">
      <c r="B207" s="26"/>
      <c r="J207" s="26"/>
      <c r="P207" s="26"/>
    </row>
    <row r="208" customFormat="false" ht="15" hidden="false" customHeight="false" outlineLevel="0" collapsed="false">
      <c r="B208" s="26"/>
      <c r="J208" s="26"/>
      <c r="P208" s="26"/>
    </row>
    <row r="209" customFormat="false" ht="15" hidden="false" customHeight="false" outlineLevel="0" collapsed="false">
      <c r="B209" s="26"/>
      <c r="J209" s="26"/>
      <c r="P209" s="26"/>
    </row>
    <row r="210" customFormat="false" ht="15" hidden="false" customHeight="false" outlineLevel="0" collapsed="false">
      <c r="B210" s="26"/>
      <c r="J210" s="26"/>
      <c r="P210" s="26"/>
    </row>
    <row r="211" customFormat="false" ht="15" hidden="false" customHeight="false" outlineLevel="0" collapsed="false">
      <c r="B211" s="26"/>
      <c r="J211" s="26"/>
      <c r="P211" s="26"/>
    </row>
    <row r="212" customFormat="false" ht="15" hidden="false" customHeight="false" outlineLevel="0" collapsed="false">
      <c r="B212" s="26"/>
      <c r="J212" s="26"/>
      <c r="P212" s="26"/>
    </row>
    <row r="213" customFormat="false" ht="15" hidden="false" customHeight="false" outlineLevel="0" collapsed="false">
      <c r="B213" s="26"/>
      <c r="J213" s="26"/>
      <c r="P213" s="26"/>
    </row>
    <row r="214" customFormat="false" ht="15" hidden="false" customHeight="false" outlineLevel="0" collapsed="false">
      <c r="B214" s="26"/>
      <c r="J214" s="26"/>
      <c r="P214" s="26"/>
    </row>
    <row r="215" customFormat="false" ht="15" hidden="false" customHeight="false" outlineLevel="0" collapsed="false">
      <c r="B215" s="26"/>
      <c r="J215" s="26"/>
      <c r="P215" s="26"/>
    </row>
    <row r="216" customFormat="false" ht="15" hidden="false" customHeight="false" outlineLevel="0" collapsed="false">
      <c r="B216" s="26"/>
      <c r="J216" s="26"/>
      <c r="P216" s="26"/>
    </row>
    <row r="217" customFormat="false" ht="15" hidden="false" customHeight="false" outlineLevel="0" collapsed="false">
      <c r="B217" s="26"/>
      <c r="J217" s="26"/>
      <c r="P217" s="26"/>
    </row>
    <row r="218" customFormat="false" ht="15" hidden="false" customHeight="false" outlineLevel="0" collapsed="false">
      <c r="B218" s="26"/>
      <c r="J218" s="26"/>
      <c r="P218" s="26"/>
    </row>
    <row r="219" customFormat="false" ht="15" hidden="false" customHeight="false" outlineLevel="0" collapsed="false">
      <c r="B219" s="26"/>
      <c r="J219" s="26"/>
      <c r="P219" s="26"/>
    </row>
    <row r="220" customFormat="false" ht="15" hidden="false" customHeight="false" outlineLevel="0" collapsed="false">
      <c r="B220" s="26"/>
      <c r="J220" s="26"/>
      <c r="P220" s="26"/>
    </row>
    <row r="221" customFormat="false" ht="15" hidden="false" customHeight="false" outlineLevel="0" collapsed="false">
      <c r="B221" s="26"/>
      <c r="J221" s="26"/>
      <c r="P221" s="26"/>
    </row>
    <row r="222" customFormat="false" ht="15" hidden="false" customHeight="false" outlineLevel="0" collapsed="false">
      <c r="B222" s="26"/>
      <c r="J222" s="26"/>
      <c r="P222" s="26"/>
    </row>
    <row r="223" customFormat="false" ht="15" hidden="false" customHeight="false" outlineLevel="0" collapsed="false">
      <c r="B223" s="26"/>
      <c r="J223" s="26"/>
      <c r="P223" s="26"/>
    </row>
    <row r="224" customFormat="false" ht="15" hidden="false" customHeight="false" outlineLevel="0" collapsed="false">
      <c r="B224" s="26"/>
      <c r="J224" s="26"/>
      <c r="P224" s="26"/>
    </row>
    <row r="225" customFormat="false" ht="15" hidden="false" customHeight="false" outlineLevel="0" collapsed="false">
      <c r="B225" s="26"/>
      <c r="J225" s="26"/>
      <c r="P225" s="26"/>
    </row>
    <row r="226" customFormat="false" ht="15" hidden="false" customHeight="false" outlineLevel="0" collapsed="false">
      <c r="B226" s="26"/>
      <c r="J226" s="26"/>
      <c r="P226" s="26"/>
    </row>
    <row r="227" customFormat="false" ht="15" hidden="false" customHeight="false" outlineLevel="0" collapsed="false">
      <c r="B227" s="26"/>
      <c r="J227" s="26"/>
      <c r="P227" s="26"/>
    </row>
    <row r="228" customFormat="false" ht="15" hidden="false" customHeight="false" outlineLevel="0" collapsed="false">
      <c r="B228" s="26"/>
      <c r="J228" s="26"/>
      <c r="P228" s="26"/>
    </row>
    <row r="229" customFormat="false" ht="15" hidden="false" customHeight="false" outlineLevel="0" collapsed="false">
      <c r="B229" s="26"/>
      <c r="J229" s="26"/>
      <c r="P229" s="26"/>
    </row>
    <row r="230" customFormat="false" ht="15" hidden="false" customHeight="false" outlineLevel="0" collapsed="false">
      <c r="B230" s="26"/>
      <c r="J230" s="26"/>
      <c r="P230" s="26"/>
    </row>
    <row r="231" customFormat="false" ht="15" hidden="false" customHeight="false" outlineLevel="0" collapsed="false">
      <c r="B231" s="26"/>
      <c r="J231" s="26"/>
      <c r="P231" s="26"/>
    </row>
    <row r="232" customFormat="false" ht="15" hidden="false" customHeight="false" outlineLevel="0" collapsed="false">
      <c r="B232" s="26"/>
      <c r="J232" s="26"/>
      <c r="P232" s="26"/>
    </row>
    <row r="233" customFormat="false" ht="15" hidden="false" customHeight="false" outlineLevel="0" collapsed="false">
      <c r="B233" s="26"/>
      <c r="J233" s="26"/>
      <c r="P233" s="26"/>
    </row>
    <row r="234" customFormat="false" ht="15" hidden="false" customHeight="false" outlineLevel="0" collapsed="false">
      <c r="B234" s="26"/>
      <c r="J234" s="26"/>
      <c r="P234" s="26"/>
    </row>
    <row r="235" customFormat="false" ht="15" hidden="false" customHeight="false" outlineLevel="0" collapsed="false">
      <c r="B235" s="26"/>
      <c r="J235" s="26"/>
      <c r="P235" s="26"/>
    </row>
    <row r="236" customFormat="false" ht="15" hidden="false" customHeight="false" outlineLevel="0" collapsed="false">
      <c r="B236" s="26"/>
      <c r="J236" s="26"/>
      <c r="P236" s="26"/>
    </row>
    <row r="237" customFormat="false" ht="15" hidden="false" customHeight="false" outlineLevel="0" collapsed="false">
      <c r="B237" s="26"/>
      <c r="J237" s="26"/>
      <c r="P237" s="26"/>
    </row>
    <row r="238" customFormat="false" ht="15" hidden="false" customHeight="false" outlineLevel="0" collapsed="false">
      <c r="B238" s="26"/>
      <c r="J238" s="26"/>
      <c r="P238" s="26"/>
    </row>
    <row r="239" customFormat="false" ht="15" hidden="false" customHeight="false" outlineLevel="0" collapsed="false">
      <c r="B239" s="26"/>
      <c r="J239" s="26"/>
      <c r="P239" s="26"/>
    </row>
    <row r="240" customFormat="false" ht="15" hidden="false" customHeight="false" outlineLevel="0" collapsed="false">
      <c r="B240" s="26"/>
      <c r="J240" s="26"/>
      <c r="P240" s="26"/>
    </row>
    <row r="241" customFormat="false" ht="15" hidden="false" customHeight="false" outlineLevel="0" collapsed="false">
      <c r="B241" s="26"/>
      <c r="J241" s="26"/>
      <c r="P241" s="26"/>
    </row>
    <row r="242" customFormat="false" ht="15" hidden="false" customHeight="false" outlineLevel="0" collapsed="false">
      <c r="B242" s="26"/>
      <c r="J242" s="26"/>
      <c r="P242" s="26"/>
    </row>
    <row r="243" customFormat="false" ht="15" hidden="false" customHeight="false" outlineLevel="0" collapsed="false">
      <c r="B243" s="26"/>
      <c r="J243" s="26"/>
      <c r="P243" s="26"/>
    </row>
    <row r="244" customFormat="false" ht="15" hidden="false" customHeight="false" outlineLevel="0" collapsed="false">
      <c r="B244" s="26"/>
      <c r="J244" s="26"/>
      <c r="P244" s="26"/>
    </row>
    <row r="245" customFormat="false" ht="15" hidden="false" customHeight="false" outlineLevel="0" collapsed="false">
      <c r="B245" s="26"/>
      <c r="J245" s="26"/>
      <c r="P245" s="26"/>
    </row>
    <row r="246" customFormat="false" ht="15" hidden="false" customHeight="false" outlineLevel="0" collapsed="false">
      <c r="B246" s="26"/>
      <c r="J246" s="26"/>
      <c r="P246" s="26"/>
    </row>
    <row r="247" customFormat="false" ht="15" hidden="false" customHeight="false" outlineLevel="0" collapsed="false">
      <c r="B247" s="26"/>
      <c r="J247" s="26"/>
      <c r="P247" s="26"/>
    </row>
    <row r="248" customFormat="false" ht="15" hidden="false" customHeight="false" outlineLevel="0" collapsed="false">
      <c r="B248" s="26"/>
      <c r="J248" s="26"/>
      <c r="P248" s="26"/>
    </row>
    <row r="249" customFormat="false" ht="15" hidden="false" customHeight="false" outlineLevel="0" collapsed="false">
      <c r="B249" s="26"/>
      <c r="J249" s="26"/>
      <c r="P249" s="26"/>
    </row>
    <row r="250" customFormat="false" ht="15" hidden="false" customHeight="false" outlineLevel="0" collapsed="false">
      <c r="B250" s="26"/>
      <c r="J250" s="26"/>
      <c r="P250" s="26"/>
    </row>
    <row r="251" customFormat="false" ht="15" hidden="false" customHeight="false" outlineLevel="0" collapsed="false">
      <c r="B251" s="26"/>
      <c r="J251" s="26"/>
      <c r="P251" s="26"/>
    </row>
    <row r="252" customFormat="false" ht="15" hidden="false" customHeight="false" outlineLevel="0" collapsed="false">
      <c r="B252" s="26"/>
      <c r="J252" s="26"/>
      <c r="P252" s="26"/>
    </row>
    <row r="253" customFormat="false" ht="15" hidden="false" customHeight="false" outlineLevel="0" collapsed="false">
      <c r="B253" s="26"/>
      <c r="J253" s="26"/>
      <c r="P253" s="26"/>
    </row>
    <row r="254" customFormat="false" ht="15" hidden="false" customHeight="false" outlineLevel="0" collapsed="false">
      <c r="B254" s="26"/>
      <c r="J254" s="26"/>
      <c r="P254" s="26"/>
    </row>
    <row r="255" customFormat="false" ht="15" hidden="false" customHeight="false" outlineLevel="0" collapsed="false">
      <c r="B255" s="26"/>
      <c r="J255" s="26"/>
      <c r="P255" s="26"/>
    </row>
    <row r="256" customFormat="false" ht="15" hidden="false" customHeight="false" outlineLevel="0" collapsed="false">
      <c r="B256" s="26"/>
      <c r="J256" s="26"/>
      <c r="P256" s="26"/>
    </row>
    <row r="257" customFormat="false" ht="15" hidden="false" customHeight="false" outlineLevel="0" collapsed="false">
      <c r="B257" s="26"/>
      <c r="J257" s="26"/>
      <c r="P257" s="26"/>
    </row>
    <row r="258" customFormat="false" ht="15" hidden="false" customHeight="false" outlineLevel="0" collapsed="false">
      <c r="B258" s="26"/>
      <c r="J258" s="26"/>
      <c r="P258" s="26"/>
    </row>
    <row r="259" customFormat="false" ht="15" hidden="false" customHeight="false" outlineLevel="0" collapsed="false">
      <c r="B259" s="26"/>
      <c r="J259" s="26"/>
      <c r="P259" s="26"/>
    </row>
    <row r="260" customFormat="false" ht="15" hidden="false" customHeight="false" outlineLevel="0" collapsed="false">
      <c r="B260" s="26"/>
      <c r="J260" s="26"/>
      <c r="P260" s="26"/>
    </row>
    <row r="261" customFormat="false" ht="15" hidden="false" customHeight="false" outlineLevel="0" collapsed="false">
      <c r="B261" s="26"/>
      <c r="J261" s="26"/>
      <c r="P261" s="26"/>
    </row>
    <row r="262" customFormat="false" ht="15" hidden="false" customHeight="false" outlineLevel="0" collapsed="false">
      <c r="B262" s="26"/>
      <c r="J262" s="26"/>
      <c r="P262" s="26"/>
    </row>
    <row r="263" customFormat="false" ht="15" hidden="false" customHeight="false" outlineLevel="0" collapsed="false">
      <c r="B263" s="26"/>
      <c r="J263" s="26"/>
      <c r="P263" s="26"/>
    </row>
    <row r="264" customFormat="false" ht="15" hidden="false" customHeight="false" outlineLevel="0" collapsed="false">
      <c r="B264" s="26"/>
      <c r="J264" s="26"/>
      <c r="P264" s="26"/>
    </row>
    <row r="265" customFormat="false" ht="15" hidden="false" customHeight="false" outlineLevel="0" collapsed="false">
      <c r="B265" s="26"/>
      <c r="J265" s="26"/>
      <c r="P265" s="26"/>
    </row>
    <row r="266" customFormat="false" ht="15" hidden="false" customHeight="false" outlineLevel="0" collapsed="false">
      <c r="B266" s="26"/>
      <c r="J266" s="26"/>
      <c r="P266" s="26"/>
    </row>
    <row r="267" customFormat="false" ht="15" hidden="false" customHeight="false" outlineLevel="0" collapsed="false">
      <c r="B267" s="26"/>
      <c r="J267" s="26"/>
      <c r="P267" s="26"/>
    </row>
    <row r="268" customFormat="false" ht="15" hidden="false" customHeight="false" outlineLevel="0" collapsed="false">
      <c r="B268" s="26"/>
      <c r="J268" s="26"/>
      <c r="P268" s="26"/>
    </row>
    <row r="269" customFormat="false" ht="15" hidden="false" customHeight="false" outlineLevel="0" collapsed="false">
      <c r="B269" s="26"/>
      <c r="J269" s="26"/>
      <c r="P269" s="26"/>
    </row>
    <row r="270" customFormat="false" ht="15" hidden="false" customHeight="false" outlineLevel="0" collapsed="false">
      <c r="B270" s="26"/>
      <c r="J270" s="26"/>
      <c r="P270" s="26"/>
    </row>
    <row r="271" customFormat="false" ht="15" hidden="false" customHeight="false" outlineLevel="0" collapsed="false">
      <c r="B271" s="26"/>
      <c r="J271" s="26"/>
      <c r="P271" s="26"/>
    </row>
    <row r="272" customFormat="false" ht="15" hidden="false" customHeight="false" outlineLevel="0" collapsed="false">
      <c r="B272" s="26"/>
      <c r="J272" s="26"/>
      <c r="P272" s="26"/>
    </row>
    <row r="273" customFormat="false" ht="15" hidden="false" customHeight="false" outlineLevel="0" collapsed="false">
      <c r="B273" s="26"/>
      <c r="J273" s="26"/>
      <c r="P273" s="26"/>
    </row>
    <row r="274" customFormat="false" ht="15" hidden="false" customHeight="false" outlineLevel="0" collapsed="false">
      <c r="B274" s="26"/>
      <c r="J274" s="26"/>
      <c r="P274" s="26"/>
    </row>
    <row r="275" customFormat="false" ht="15" hidden="false" customHeight="false" outlineLevel="0" collapsed="false">
      <c r="B275" s="26"/>
      <c r="J275" s="26"/>
      <c r="P275" s="26"/>
    </row>
    <row r="276" customFormat="false" ht="15" hidden="false" customHeight="false" outlineLevel="0" collapsed="false">
      <c r="B276" s="26"/>
      <c r="J276" s="26"/>
      <c r="P276" s="26"/>
    </row>
    <row r="277" customFormat="false" ht="15" hidden="false" customHeight="false" outlineLevel="0" collapsed="false">
      <c r="B277" s="26"/>
      <c r="J277" s="26"/>
      <c r="P277" s="26"/>
    </row>
    <row r="278" customFormat="false" ht="15" hidden="false" customHeight="false" outlineLevel="0" collapsed="false">
      <c r="B278" s="26"/>
      <c r="J278" s="26"/>
      <c r="P278" s="26"/>
    </row>
    <row r="279" customFormat="false" ht="15" hidden="false" customHeight="false" outlineLevel="0" collapsed="false">
      <c r="B279" s="26"/>
      <c r="J279" s="26"/>
      <c r="P279" s="26"/>
    </row>
    <row r="280" customFormat="false" ht="15" hidden="false" customHeight="false" outlineLevel="0" collapsed="false">
      <c r="B280" s="26"/>
      <c r="J280" s="26"/>
      <c r="P280" s="26"/>
    </row>
    <row r="281" customFormat="false" ht="15" hidden="false" customHeight="false" outlineLevel="0" collapsed="false">
      <c r="B281" s="26"/>
      <c r="J281" s="26"/>
      <c r="P281" s="26"/>
    </row>
    <row r="282" customFormat="false" ht="15" hidden="false" customHeight="false" outlineLevel="0" collapsed="false">
      <c r="B282" s="26"/>
      <c r="J282" s="26"/>
      <c r="P282" s="26"/>
    </row>
    <row r="283" customFormat="false" ht="15" hidden="false" customHeight="false" outlineLevel="0" collapsed="false">
      <c r="B283" s="26"/>
      <c r="J283" s="26"/>
      <c r="P283" s="26"/>
    </row>
    <row r="284" customFormat="false" ht="15" hidden="false" customHeight="false" outlineLevel="0" collapsed="false">
      <c r="B284" s="26"/>
      <c r="J284" s="26"/>
      <c r="P284" s="26"/>
    </row>
    <row r="285" customFormat="false" ht="15" hidden="false" customHeight="false" outlineLevel="0" collapsed="false">
      <c r="B285" s="26"/>
      <c r="J285" s="26"/>
      <c r="P285" s="26"/>
    </row>
    <row r="286" customFormat="false" ht="15" hidden="false" customHeight="false" outlineLevel="0" collapsed="false">
      <c r="B286" s="26"/>
      <c r="J286" s="26"/>
      <c r="P286" s="26"/>
    </row>
    <row r="287" customFormat="false" ht="15" hidden="false" customHeight="false" outlineLevel="0" collapsed="false">
      <c r="B287" s="26"/>
      <c r="J287" s="26"/>
      <c r="P287" s="26"/>
    </row>
    <row r="288" customFormat="false" ht="15" hidden="false" customHeight="false" outlineLevel="0" collapsed="false">
      <c r="B288" s="26"/>
      <c r="J288" s="26"/>
      <c r="P288" s="26"/>
    </row>
    <row r="289" customFormat="false" ht="15" hidden="false" customHeight="false" outlineLevel="0" collapsed="false">
      <c r="B289" s="26"/>
      <c r="J289" s="26"/>
      <c r="P289" s="26"/>
    </row>
    <row r="290" customFormat="false" ht="15" hidden="false" customHeight="false" outlineLevel="0" collapsed="false">
      <c r="B290" s="26"/>
      <c r="J290" s="26"/>
      <c r="P290" s="26"/>
    </row>
    <row r="291" customFormat="false" ht="15" hidden="false" customHeight="false" outlineLevel="0" collapsed="false">
      <c r="B291" s="26"/>
      <c r="J291" s="26"/>
      <c r="P291" s="26"/>
    </row>
    <row r="292" customFormat="false" ht="15" hidden="false" customHeight="false" outlineLevel="0" collapsed="false">
      <c r="B292" s="26"/>
      <c r="J292" s="26"/>
      <c r="P292" s="26"/>
    </row>
    <row r="293" customFormat="false" ht="15" hidden="false" customHeight="false" outlineLevel="0" collapsed="false">
      <c r="B293" s="26"/>
      <c r="J293" s="26"/>
      <c r="P293" s="26"/>
    </row>
    <row r="294" customFormat="false" ht="15" hidden="false" customHeight="false" outlineLevel="0" collapsed="false">
      <c r="B294" s="26"/>
      <c r="J294" s="26"/>
      <c r="P294" s="26"/>
    </row>
    <row r="295" customFormat="false" ht="15" hidden="false" customHeight="false" outlineLevel="0" collapsed="false">
      <c r="B295" s="26"/>
      <c r="J295" s="26"/>
      <c r="P295" s="26"/>
    </row>
    <row r="296" customFormat="false" ht="15" hidden="false" customHeight="false" outlineLevel="0" collapsed="false">
      <c r="B296" s="26"/>
      <c r="J296" s="26"/>
      <c r="P296" s="26"/>
    </row>
    <row r="297" customFormat="false" ht="15" hidden="false" customHeight="false" outlineLevel="0" collapsed="false">
      <c r="B297" s="26"/>
      <c r="J297" s="26"/>
      <c r="P297" s="26"/>
    </row>
    <row r="298" customFormat="false" ht="15" hidden="false" customHeight="false" outlineLevel="0" collapsed="false">
      <c r="B298" s="26"/>
      <c r="J298" s="26"/>
      <c r="P298" s="26"/>
    </row>
    <row r="299" customFormat="false" ht="15" hidden="false" customHeight="false" outlineLevel="0" collapsed="false">
      <c r="B299" s="26"/>
      <c r="J299" s="26"/>
      <c r="P299" s="26"/>
    </row>
    <row r="300" customFormat="false" ht="15" hidden="false" customHeight="false" outlineLevel="0" collapsed="false">
      <c r="B300" s="26"/>
      <c r="J300" s="26"/>
      <c r="P300" s="26"/>
    </row>
    <row r="301" customFormat="false" ht="15" hidden="false" customHeight="false" outlineLevel="0" collapsed="false">
      <c r="B301" s="26"/>
      <c r="J301" s="26"/>
      <c r="P301" s="26"/>
    </row>
    <row r="302" customFormat="false" ht="15" hidden="false" customHeight="false" outlineLevel="0" collapsed="false">
      <c r="B302" s="26"/>
      <c r="J302" s="26"/>
      <c r="P302" s="26"/>
    </row>
    <row r="303" customFormat="false" ht="15" hidden="false" customHeight="false" outlineLevel="0" collapsed="false">
      <c r="B303" s="26"/>
      <c r="J303" s="26"/>
      <c r="P303" s="26"/>
    </row>
    <row r="304" customFormat="false" ht="15" hidden="false" customHeight="false" outlineLevel="0" collapsed="false">
      <c r="B304" s="26"/>
      <c r="J304" s="26"/>
      <c r="P304" s="26"/>
    </row>
    <row r="305" customFormat="false" ht="15" hidden="false" customHeight="false" outlineLevel="0" collapsed="false">
      <c r="B305" s="26"/>
      <c r="J305" s="26"/>
      <c r="P305" s="26"/>
    </row>
    <row r="306" customFormat="false" ht="15" hidden="false" customHeight="false" outlineLevel="0" collapsed="false">
      <c r="B306" s="26"/>
      <c r="J306" s="26"/>
      <c r="P306" s="26"/>
    </row>
    <row r="307" customFormat="false" ht="15" hidden="false" customHeight="false" outlineLevel="0" collapsed="false">
      <c r="B307" s="26"/>
      <c r="J307" s="26"/>
      <c r="P307" s="26"/>
    </row>
    <row r="308" customFormat="false" ht="15" hidden="false" customHeight="false" outlineLevel="0" collapsed="false">
      <c r="B308" s="26"/>
      <c r="J308" s="26"/>
      <c r="P308" s="26"/>
    </row>
    <row r="309" customFormat="false" ht="15" hidden="false" customHeight="false" outlineLevel="0" collapsed="false">
      <c r="B309" s="26"/>
      <c r="J309" s="26"/>
      <c r="P309" s="26"/>
    </row>
    <row r="310" customFormat="false" ht="15" hidden="false" customHeight="false" outlineLevel="0" collapsed="false">
      <c r="B310" s="26"/>
      <c r="J310" s="26"/>
      <c r="P310" s="26"/>
    </row>
    <row r="311" customFormat="false" ht="15" hidden="false" customHeight="false" outlineLevel="0" collapsed="false">
      <c r="B311" s="26"/>
      <c r="J311" s="26"/>
      <c r="P311" s="26"/>
    </row>
    <row r="312" customFormat="false" ht="15" hidden="false" customHeight="false" outlineLevel="0" collapsed="false">
      <c r="B312" s="26"/>
      <c r="J312" s="26"/>
      <c r="P312" s="26"/>
    </row>
    <row r="313" customFormat="false" ht="15" hidden="false" customHeight="false" outlineLevel="0" collapsed="false">
      <c r="B313" s="26"/>
      <c r="J313" s="26"/>
      <c r="P313" s="26"/>
    </row>
    <row r="314" customFormat="false" ht="15" hidden="false" customHeight="false" outlineLevel="0" collapsed="false">
      <c r="B314" s="26"/>
      <c r="J314" s="26"/>
      <c r="P314" s="26"/>
    </row>
    <row r="315" customFormat="false" ht="15" hidden="false" customHeight="false" outlineLevel="0" collapsed="false">
      <c r="B315" s="26"/>
      <c r="J315" s="26"/>
      <c r="P315" s="26"/>
    </row>
    <row r="316" customFormat="false" ht="15" hidden="false" customHeight="false" outlineLevel="0" collapsed="false">
      <c r="B316" s="26"/>
      <c r="J316" s="26"/>
      <c r="P316" s="26"/>
    </row>
    <row r="317" customFormat="false" ht="15" hidden="false" customHeight="false" outlineLevel="0" collapsed="false">
      <c r="B317" s="26"/>
      <c r="J317" s="26"/>
      <c r="P317" s="26"/>
    </row>
    <row r="318" customFormat="false" ht="15" hidden="false" customHeight="false" outlineLevel="0" collapsed="false">
      <c r="B318" s="26"/>
      <c r="J318" s="26"/>
      <c r="P318" s="26"/>
    </row>
    <row r="319" customFormat="false" ht="15" hidden="false" customHeight="false" outlineLevel="0" collapsed="false">
      <c r="B319" s="26"/>
      <c r="J319" s="26"/>
      <c r="P319" s="26"/>
    </row>
    <row r="320" customFormat="false" ht="15" hidden="false" customHeight="false" outlineLevel="0" collapsed="false">
      <c r="B320" s="26"/>
      <c r="J320" s="26"/>
      <c r="P320" s="26"/>
    </row>
    <row r="321" customFormat="false" ht="15" hidden="false" customHeight="false" outlineLevel="0" collapsed="false">
      <c r="B321" s="26"/>
      <c r="J321" s="26"/>
      <c r="P321" s="26"/>
    </row>
    <row r="322" customFormat="false" ht="15" hidden="false" customHeight="false" outlineLevel="0" collapsed="false">
      <c r="B322" s="26"/>
      <c r="J322" s="26"/>
      <c r="P322" s="26"/>
    </row>
    <row r="323" customFormat="false" ht="15" hidden="false" customHeight="false" outlineLevel="0" collapsed="false">
      <c r="B323" s="26"/>
      <c r="J323" s="26"/>
      <c r="P323" s="26"/>
    </row>
    <row r="324" customFormat="false" ht="15" hidden="false" customHeight="false" outlineLevel="0" collapsed="false">
      <c r="B324" s="26"/>
      <c r="J324" s="26"/>
      <c r="P324" s="26"/>
    </row>
    <row r="325" customFormat="false" ht="15" hidden="false" customHeight="false" outlineLevel="0" collapsed="false">
      <c r="B325" s="26"/>
      <c r="J325" s="26"/>
      <c r="P325" s="26"/>
    </row>
    <row r="326" customFormat="false" ht="15" hidden="false" customHeight="false" outlineLevel="0" collapsed="false">
      <c r="B326" s="26"/>
      <c r="J326" s="26"/>
      <c r="P326" s="26"/>
    </row>
    <row r="327" customFormat="false" ht="15" hidden="false" customHeight="false" outlineLevel="0" collapsed="false">
      <c r="B327" s="26"/>
      <c r="J327" s="26"/>
      <c r="P327" s="26"/>
    </row>
    <row r="328" customFormat="false" ht="15" hidden="false" customHeight="false" outlineLevel="0" collapsed="false">
      <c r="B328" s="26"/>
      <c r="J328" s="26"/>
      <c r="P328" s="26"/>
    </row>
    <row r="329" customFormat="false" ht="15" hidden="false" customHeight="false" outlineLevel="0" collapsed="false">
      <c r="B329" s="26"/>
      <c r="J329" s="26"/>
      <c r="P329" s="26"/>
    </row>
    <row r="330" customFormat="false" ht="15" hidden="false" customHeight="false" outlineLevel="0" collapsed="false">
      <c r="B330" s="26"/>
      <c r="J330" s="26"/>
      <c r="P330" s="26"/>
    </row>
    <row r="331" customFormat="false" ht="15" hidden="false" customHeight="false" outlineLevel="0" collapsed="false">
      <c r="B331" s="26"/>
      <c r="J331" s="26"/>
      <c r="P331" s="26"/>
    </row>
    <row r="332" customFormat="false" ht="15" hidden="false" customHeight="false" outlineLevel="0" collapsed="false">
      <c r="B332" s="26"/>
      <c r="J332" s="26"/>
      <c r="P332" s="26"/>
    </row>
    <row r="333" customFormat="false" ht="15" hidden="false" customHeight="false" outlineLevel="0" collapsed="false">
      <c r="B333" s="26"/>
      <c r="J333" s="26"/>
      <c r="P333" s="26"/>
    </row>
    <row r="334" customFormat="false" ht="15" hidden="false" customHeight="false" outlineLevel="0" collapsed="false">
      <c r="B334" s="26"/>
      <c r="J334" s="26"/>
      <c r="P334" s="26"/>
    </row>
    <row r="335" customFormat="false" ht="15" hidden="false" customHeight="false" outlineLevel="0" collapsed="false">
      <c r="B335" s="26"/>
      <c r="J335" s="26"/>
      <c r="P335" s="26"/>
    </row>
    <row r="336" customFormat="false" ht="15" hidden="false" customHeight="false" outlineLevel="0" collapsed="false">
      <c r="B336" s="26"/>
      <c r="J336" s="26"/>
      <c r="P336" s="26"/>
    </row>
    <row r="337" customFormat="false" ht="15" hidden="false" customHeight="false" outlineLevel="0" collapsed="false">
      <c r="B337" s="26"/>
      <c r="J337" s="26"/>
      <c r="P337" s="26"/>
    </row>
    <row r="338" customFormat="false" ht="15" hidden="false" customHeight="false" outlineLevel="0" collapsed="false">
      <c r="B338" s="26"/>
      <c r="J338" s="26"/>
      <c r="P338" s="26"/>
    </row>
    <row r="339" customFormat="false" ht="15" hidden="false" customHeight="false" outlineLevel="0" collapsed="false">
      <c r="B339" s="26"/>
      <c r="J339" s="26"/>
      <c r="P339" s="26"/>
    </row>
    <row r="340" customFormat="false" ht="15" hidden="false" customHeight="false" outlineLevel="0" collapsed="false">
      <c r="B340" s="26"/>
      <c r="J340" s="26"/>
      <c r="P340" s="26"/>
    </row>
    <row r="341" customFormat="false" ht="15" hidden="false" customHeight="false" outlineLevel="0" collapsed="false">
      <c r="B341" s="26"/>
      <c r="J341" s="26"/>
      <c r="P341" s="26"/>
    </row>
    <row r="342" customFormat="false" ht="15" hidden="false" customHeight="false" outlineLevel="0" collapsed="false">
      <c r="B342" s="26"/>
      <c r="J342" s="26"/>
      <c r="P342" s="26"/>
    </row>
    <row r="343" customFormat="false" ht="15" hidden="false" customHeight="false" outlineLevel="0" collapsed="false">
      <c r="B343" s="26"/>
      <c r="J343" s="26"/>
      <c r="P343" s="26"/>
    </row>
    <row r="344" customFormat="false" ht="15" hidden="false" customHeight="false" outlineLevel="0" collapsed="false">
      <c r="B344" s="26"/>
      <c r="J344" s="26"/>
      <c r="P344" s="26"/>
    </row>
    <row r="345" customFormat="false" ht="15" hidden="false" customHeight="false" outlineLevel="0" collapsed="false">
      <c r="B345" s="26"/>
      <c r="J345" s="26"/>
      <c r="P345" s="26"/>
    </row>
    <row r="346" customFormat="false" ht="15" hidden="false" customHeight="false" outlineLevel="0" collapsed="false">
      <c r="B346" s="26"/>
      <c r="J346" s="26"/>
      <c r="P346" s="26"/>
    </row>
    <row r="347" customFormat="false" ht="15" hidden="false" customHeight="false" outlineLevel="0" collapsed="false">
      <c r="B347" s="26"/>
      <c r="J347" s="26"/>
      <c r="P347" s="26"/>
    </row>
    <row r="348" customFormat="false" ht="15" hidden="false" customHeight="false" outlineLevel="0" collapsed="false">
      <c r="B348" s="26"/>
      <c r="J348" s="26"/>
      <c r="P348" s="26"/>
    </row>
    <row r="349" customFormat="false" ht="15" hidden="false" customHeight="false" outlineLevel="0" collapsed="false">
      <c r="B349" s="26"/>
      <c r="J349" s="26"/>
      <c r="P349" s="26"/>
    </row>
    <row r="350" customFormat="false" ht="15" hidden="false" customHeight="false" outlineLevel="0" collapsed="false">
      <c r="B350" s="26"/>
      <c r="J350" s="26"/>
      <c r="P350" s="26"/>
    </row>
    <row r="351" customFormat="false" ht="15" hidden="false" customHeight="false" outlineLevel="0" collapsed="false">
      <c r="B351" s="26"/>
      <c r="J351" s="26"/>
      <c r="P351" s="26"/>
    </row>
    <row r="352" customFormat="false" ht="15" hidden="false" customHeight="false" outlineLevel="0" collapsed="false">
      <c r="B352" s="26"/>
      <c r="J352" s="26"/>
      <c r="P352" s="26"/>
    </row>
    <row r="353" customFormat="false" ht="15" hidden="false" customHeight="false" outlineLevel="0" collapsed="false">
      <c r="B353" s="26"/>
      <c r="J353" s="26"/>
      <c r="P353" s="26"/>
    </row>
    <row r="354" customFormat="false" ht="15" hidden="false" customHeight="false" outlineLevel="0" collapsed="false">
      <c r="B354" s="26"/>
      <c r="J354" s="26"/>
      <c r="P354" s="26"/>
    </row>
    <row r="355" customFormat="false" ht="15" hidden="false" customHeight="false" outlineLevel="0" collapsed="false">
      <c r="B355" s="26"/>
      <c r="J355" s="26"/>
      <c r="P355" s="26"/>
    </row>
    <row r="356" customFormat="false" ht="15" hidden="false" customHeight="false" outlineLevel="0" collapsed="false">
      <c r="B356" s="26"/>
      <c r="J356" s="26"/>
      <c r="P356" s="26"/>
    </row>
    <row r="357" customFormat="false" ht="15" hidden="false" customHeight="false" outlineLevel="0" collapsed="false">
      <c r="B357" s="26"/>
      <c r="J357" s="26"/>
      <c r="P357" s="26"/>
    </row>
    <row r="358" customFormat="false" ht="15" hidden="false" customHeight="false" outlineLevel="0" collapsed="false">
      <c r="B358" s="26"/>
      <c r="J358" s="26"/>
      <c r="P358" s="26"/>
    </row>
    <row r="359" customFormat="false" ht="15" hidden="false" customHeight="false" outlineLevel="0" collapsed="false">
      <c r="B359" s="26"/>
      <c r="J359" s="26"/>
      <c r="P359" s="26"/>
    </row>
    <row r="360" customFormat="false" ht="15" hidden="false" customHeight="false" outlineLevel="0" collapsed="false">
      <c r="B360" s="26"/>
      <c r="J360" s="26"/>
      <c r="P360" s="26"/>
    </row>
    <row r="361" customFormat="false" ht="15" hidden="false" customHeight="false" outlineLevel="0" collapsed="false">
      <c r="B361" s="26"/>
      <c r="J361" s="26"/>
      <c r="P361" s="26"/>
    </row>
    <row r="362" customFormat="false" ht="15" hidden="false" customHeight="false" outlineLevel="0" collapsed="false">
      <c r="B362" s="26"/>
      <c r="J362" s="26"/>
      <c r="P362" s="26"/>
    </row>
    <row r="363" customFormat="false" ht="15" hidden="false" customHeight="false" outlineLevel="0" collapsed="false">
      <c r="B363" s="26"/>
      <c r="J363" s="26"/>
      <c r="P363" s="26"/>
    </row>
    <row r="364" customFormat="false" ht="15" hidden="false" customHeight="false" outlineLevel="0" collapsed="false">
      <c r="B364" s="26"/>
      <c r="J364" s="26"/>
      <c r="P364" s="26"/>
    </row>
    <row r="365" customFormat="false" ht="15" hidden="false" customHeight="false" outlineLevel="0" collapsed="false">
      <c r="B365" s="26"/>
      <c r="J365" s="26"/>
      <c r="P365" s="26"/>
    </row>
    <row r="366" customFormat="false" ht="15" hidden="false" customHeight="false" outlineLevel="0" collapsed="false">
      <c r="B366" s="26"/>
      <c r="J366" s="26"/>
      <c r="P366" s="26"/>
    </row>
    <row r="367" customFormat="false" ht="15" hidden="false" customHeight="false" outlineLevel="0" collapsed="false">
      <c r="B367" s="26"/>
      <c r="J367" s="26"/>
      <c r="P367" s="26"/>
    </row>
    <row r="368" customFormat="false" ht="15" hidden="false" customHeight="false" outlineLevel="0" collapsed="false">
      <c r="B368" s="26"/>
      <c r="J368" s="26"/>
      <c r="P368" s="26"/>
    </row>
    <row r="369" customFormat="false" ht="15" hidden="false" customHeight="false" outlineLevel="0" collapsed="false">
      <c r="B369" s="26"/>
      <c r="J369" s="26"/>
      <c r="P369" s="26"/>
    </row>
    <row r="370" customFormat="false" ht="15" hidden="false" customHeight="false" outlineLevel="0" collapsed="false">
      <c r="B370" s="26"/>
      <c r="J370" s="26"/>
      <c r="P370" s="26"/>
    </row>
    <row r="371" customFormat="false" ht="15" hidden="false" customHeight="false" outlineLevel="0" collapsed="false">
      <c r="B371" s="26"/>
      <c r="J371" s="26"/>
      <c r="P371" s="26"/>
    </row>
    <row r="372" customFormat="false" ht="15" hidden="false" customHeight="false" outlineLevel="0" collapsed="false">
      <c r="B372" s="26"/>
      <c r="J372" s="26"/>
      <c r="P372" s="26"/>
    </row>
    <row r="373" customFormat="false" ht="15" hidden="false" customHeight="false" outlineLevel="0" collapsed="false">
      <c r="B373" s="26"/>
      <c r="J373" s="26"/>
      <c r="P373" s="26"/>
    </row>
    <row r="374" customFormat="false" ht="15" hidden="false" customHeight="false" outlineLevel="0" collapsed="false">
      <c r="B374" s="26"/>
      <c r="J374" s="26"/>
      <c r="P374" s="26"/>
    </row>
    <row r="375" customFormat="false" ht="15" hidden="false" customHeight="false" outlineLevel="0" collapsed="false">
      <c r="B375" s="26"/>
      <c r="J375" s="26"/>
      <c r="P375" s="26"/>
    </row>
    <row r="376" customFormat="false" ht="15" hidden="false" customHeight="false" outlineLevel="0" collapsed="false">
      <c r="B376" s="26"/>
      <c r="J376" s="26"/>
      <c r="P376" s="26"/>
    </row>
    <row r="377" customFormat="false" ht="15" hidden="false" customHeight="false" outlineLevel="0" collapsed="false">
      <c r="B377" s="26"/>
      <c r="J377" s="26"/>
      <c r="P377" s="26"/>
    </row>
    <row r="378" customFormat="false" ht="15" hidden="false" customHeight="false" outlineLevel="0" collapsed="false">
      <c r="B378" s="26"/>
      <c r="J378" s="26"/>
      <c r="P378" s="26"/>
    </row>
    <row r="379" customFormat="false" ht="15" hidden="false" customHeight="false" outlineLevel="0" collapsed="false">
      <c r="B379" s="26"/>
      <c r="J379" s="26"/>
      <c r="P379" s="26"/>
    </row>
    <row r="380" customFormat="false" ht="15" hidden="false" customHeight="false" outlineLevel="0" collapsed="false">
      <c r="B380" s="26"/>
      <c r="J380" s="26"/>
      <c r="P380" s="26"/>
    </row>
    <row r="381" customFormat="false" ht="15" hidden="false" customHeight="false" outlineLevel="0" collapsed="false">
      <c r="B381" s="26"/>
      <c r="J381" s="26"/>
      <c r="P381" s="26"/>
    </row>
    <row r="382" customFormat="false" ht="15" hidden="false" customHeight="false" outlineLevel="0" collapsed="false">
      <c r="B382" s="26"/>
      <c r="J382" s="26"/>
      <c r="P382" s="26"/>
    </row>
    <row r="383" customFormat="false" ht="15" hidden="false" customHeight="false" outlineLevel="0" collapsed="false">
      <c r="B383" s="26"/>
      <c r="J383" s="26"/>
      <c r="P383" s="26"/>
    </row>
    <row r="384" customFormat="false" ht="15" hidden="false" customHeight="false" outlineLevel="0" collapsed="false">
      <c r="B384" s="26"/>
      <c r="J384" s="26"/>
      <c r="P384" s="26"/>
    </row>
    <row r="385" customFormat="false" ht="15" hidden="false" customHeight="false" outlineLevel="0" collapsed="false">
      <c r="B385" s="26"/>
      <c r="J385" s="26"/>
      <c r="P385" s="26"/>
    </row>
    <row r="386" customFormat="false" ht="15" hidden="false" customHeight="false" outlineLevel="0" collapsed="false">
      <c r="B386" s="26"/>
      <c r="J386" s="26"/>
      <c r="P386" s="26"/>
    </row>
    <row r="387" customFormat="false" ht="15" hidden="false" customHeight="false" outlineLevel="0" collapsed="false">
      <c r="B387" s="26"/>
      <c r="J387" s="26"/>
      <c r="P387" s="26"/>
    </row>
    <row r="388" customFormat="false" ht="15" hidden="false" customHeight="false" outlineLevel="0" collapsed="false">
      <c r="B388" s="26"/>
      <c r="J388" s="26"/>
      <c r="P388" s="26"/>
    </row>
    <row r="389" customFormat="false" ht="15" hidden="false" customHeight="false" outlineLevel="0" collapsed="false">
      <c r="B389" s="26"/>
      <c r="J389" s="26"/>
      <c r="P389" s="26"/>
    </row>
    <row r="390" customFormat="false" ht="15" hidden="false" customHeight="false" outlineLevel="0" collapsed="false">
      <c r="B390" s="26"/>
      <c r="J390" s="26"/>
      <c r="P390" s="26"/>
    </row>
    <row r="391" customFormat="false" ht="15" hidden="false" customHeight="false" outlineLevel="0" collapsed="false">
      <c r="B391" s="26"/>
      <c r="J391" s="26"/>
      <c r="P391" s="26"/>
    </row>
    <row r="392" customFormat="false" ht="15" hidden="false" customHeight="false" outlineLevel="0" collapsed="false">
      <c r="B392" s="26"/>
      <c r="J392" s="26"/>
      <c r="P392" s="26"/>
    </row>
    <row r="393" customFormat="false" ht="15" hidden="false" customHeight="false" outlineLevel="0" collapsed="false">
      <c r="B393" s="26"/>
      <c r="J393" s="26"/>
      <c r="P393" s="26"/>
    </row>
    <row r="394" customFormat="false" ht="15" hidden="false" customHeight="false" outlineLevel="0" collapsed="false">
      <c r="B394" s="26"/>
      <c r="J394" s="26"/>
      <c r="P394" s="26"/>
    </row>
    <row r="395" customFormat="false" ht="15" hidden="false" customHeight="false" outlineLevel="0" collapsed="false">
      <c r="B395" s="26"/>
      <c r="J395" s="26"/>
      <c r="P395" s="26"/>
    </row>
    <row r="396" customFormat="false" ht="15" hidden="false" customHeight="false" outlineLevel="0" collapsed="false">
      <c r="B396" s="26"/>
      <c r="J396" s="26"/>
      <c r="P396" s="26"/>
    </row>
    <row r="397" customFormat="false" ht="15" hidden="false" customHeight="false" outlineLevel="0" collapsed="false">
      <c r="B397" s="26"/>
      <c r="J397" s="26"/>
      <c r="P397" s="26"/>
    </row>
    <row r="398" customFormat="false" ht="15" hidden="false" customHeight="false" outlineLevel="0" collapsed="false">
      <c r="B398" s="26"/>
      <c r="J398" s="26"/>
      <c r="P398" s="26"/>
    </row>
    <row r="399" customFormat="false" ht="15" hidden="false" customHeight="false" outlineLevel="0" collapsed="false">
      <c r="B399" s="26"/>
      <c r="J399" s="26"/>
      <c r="P399" s="26"/>
    </row>
    <row r="400" customFormat="false" ht="15" hidden="false" customHeight="false" outlineLevel="0" collapsed="false">
      <c r="B400" s="26"/>
      <c r="J400" s="26"/>
      <c r="P400" s="26"/>
    </row>
    <row r="401" customFormat="false" ht="15" hidden="false" customHeight="false" outlineLevel="0" collapsed="false">
      <c r="B401" s="26"/>
      <c r="J401" s="26"/>
      <c r="P401" s="26"/>
    </row>
    <row r="402" customFormat="false" ht="15" hidden="false" customHeight="false" outlineLevel="0" collapsed="false">
      <c r="B402" s="26"/>
      <c r="J402" s="26"/>
      <c r="P402" s="26"/>
    </row>
    <row r="403" customFormat="false" ht="15" hidden="false" customHeight="false" outlineLevel="0" collapsed="false">
      <c r="B403" s="26"/>
      <c r="J403" s="26"/>
      <c r="P403" s="26"/>
    </row>
    <row r="404" customFormat="false" ht="15" hidden="false" customHeight="false" outlineLevel="0" collapsed="false">
      <c r="B404" s="26"/>
      <c r="J404" s="26"/>
      <c r="P404" s="26"/>
    </row>
    <row r="405" customFormat="false" ht="15" hidden="false" customHeight="false" outlineLevel="0" collapsed="false">
      <c r="B405" s="26"/>
      <c r="J405" s="26"/>
      <c r="P405" s="26"/>
    </row>
    <row r="406" customFormat="false" ht="15" hidden="false" customHeight="false" outlineLevel="0" collapsed="false">
      <c r="B406" s="26"/>
      <c r="J406" s="26"/>
      <c r="P406" s="26"/>
    </row>
    <row r="407" customFormat="false" ht="15" hidden="false" customHeight="false" outlineLevel="0" collapsed="false">
      <c r="B407" s="26"/>
      <c r="J407" s="26"/>
      <c r="P407" s="26"/>
    </row>
    <row r="408" customFormat="false" ht="15" hidden="false" customHeight="false" outlineLevel="0" collapsed="false">
      <c r="B408" s="26"/>
      <c r="J408" s="26"/>
      <c r="P408" s="26"/>
    </row>
    <row r="409" customFormat="false" ht="15" hidden="false" customHeight="false" outlineLevel="0" collapsed="false">
      <c r="B409" s="26"/>
      <c r="J409" s="26"/>
      <c r="P409" s="26"/>
    </row>
    <row r="410" customFormat="false" ht="15" hidden="false" customHeight="false" outlineLevel="0" collapsed="false">
      <c r="B410" s="26"/>
      <c r="J410" s="26"/>
      <c r="P410" s="26"/>
    </row>
    <row r="411" customFormat="false" ht="15" hidden="false" customHeight="false" outlineLevel="0" collapsed="false">
      <c r="B411" s="26"/>
      <c r="J411" s="26"/>
      <c r="P411" s="26"/>
    </row>
    <row r="412" customFormat="false" ht="15" hidden="false" customHeight="false" outlineLevel="0" collapsed="false">
      <c r="B412" s="26"/>
      <c r="J412" s="26"/>
      <c r="P412" s="26"/>
    </row>
    <row r="413" customFormat="false" ht="15" hidden="false" customHeight="false" outlineLevel="0" collapsed="false">
      <c r="B413" s="26"/>
      <c r="J413" s="26"/>
      <c r="P413" s="26"/>
    </row>
    <row r="414" customFormat="false" ht="15" hidden="false" customHeight="false" outlineLevel="0" collapsed="false">
      <c r="B414" s="26"/>
      <c r="J414" s="26"/>
      <c r="P414" s="26"/>
    </row>
    <row r="415" customFormat="false" ht="15" hidden="false" customHeight="false" outlineLevel="0" collapsed="false">
      <c r="B415" s="26"/>
      <c r="J415" s="26"/>
      <c r="P415" s="26"/>
    </row>
    <row r="416" customFormat="false" ht="15" hidden="false" customHeight="false" outlineLevel="0" collapsed="false">
      <c r="B416" s="26"/>
      <c r="J416" s="26"/>
      <c r="P416" s="26"/>
    </row>
    <row r="417" customFormat="false" ht="15" hidden="false" customHeight="false" outlineLevel="0" collapsed="false">
      <c r="B417" s="26"/>
      <c r="J417" s="26"/>
      <c r="P417" s="26"/>
    </row>
    <row r="418" customFormat="false" ht="15" hidden="false" customHeight="false" outlineLevel="0" collapsed="false">
      <c r="B418" s="26"/>
      <c r="J418" s="26"/>
      <c r="P418" s="26"/>
    </row>
    <row r="419" customFormat="false" ht="15" hidden="false" customHeight="false" outlineLevel="0" collapsed="false">
      <c r="B419" s="26"/>
      <c r="J419" s="26"/>
      <c r="P419" s="26"/>
    </row>
    <row r="420" customFormat="false" ht="15" hidden="false" customHeight="false" outlineLevel="0" collapsed="false">
      <c r="B420" s="26"/>
      <c r="J420" s="26"/>
      <c r="P420" s="26"/>
    </row>
    <row r="421" customFormat="false" ht="15" hidden="false" customHeight="false" outlineLevel="0" collapsed="false">
      <c r="B421" s="26"/>
      <c r="J421" s="26"/>
      <c r="P421" s="26"/>
    </row>
    <row r="422" customFormat="false" ht="15" hidden="false" customHeight="false" outlineLevel="0" collapsed="false">
      <c r="B422" s="26"/>
      <c r="J422" s="26"/>
      <c r="P422" s="26"/>
    </row>
    <row r="423" customFormat="false" ht="15" hidden="false" customHeight="false" outlineLevel="0" collapsed="false">
      <c r="B423" s="26"/>
      <c r="J423" s="26"/>
      <c r="P423" s="26"/>
    </row>
    <row r="424" customFormat="false" ht="15" hidden="false" customHeight="false" outlineLevel="0" collapsed="false">
      <c r="B424" s="26"/>
      <c r="J424" s="26"/>
      <c r="P424" s="26"/>
    </row>
    <row r="425" customFormat="false" ht="15" hidden="false" customHeight="false" outlineLevel="0" collapsed="false">
      <c r="B425" s="26"/>
      <c r="J425" s="26"/>
      <c r="P425" s="26"/>
    </row>
    <row r="426" customFormat="false" ht="15" hidden="false" customHeight="false" outlineLevel="0" collapsed="false">
      <c r="B426" s="26"/>
      <c r="J426" s="26"/>
      <c r="P426" s="26"/>
    </row>
    <row r="427" customFormat="false" ht="15" hidden="false" customHeight="false" outlineLevel="0" collapsed="false">
      <c r="B427" s="26"/>
      <c r="J427" s="26"/>
      <c r="P427" s="26"/>
    </row>
    <row r="428" customFormat="false" ht="15" hidden="false" customHeight="false" outlineLevel="0" collapsed="false">
      <c r="B428" s="26"/>
      <c r="J428" s="26"/>
      <c r="P428" s="26"/>
    </row>
    <row r="429" customFormat="false" ht="15" hidden="false" customHeight="false" outlineLevel="0" collapsed="false">
      <c r="B429" s="26"/>
      <c r="J429" s="26"/>
      <c r="P429" s="26"/>
    </row>
    <row r="430" customFormat="false" ht="15" hidden="false" customHeight="false" outlineLevel="0" collapsed="false">
      <c r="B430" s="26"/>
      <c r="J430" s="26"/>
      <c r="P430" s="26"/>
    </row>
    <row r="431" customFormat="false" ht="15" hidden="false" customHeight="false" outlineLevel="0" collapsed="false">
      <c r="B431" s="26"/>
      <c r="J431" s="26"/>
      <c r="P431" s="26"/>
    </row>
    <row r="432" customFormat="false" ht="15" hidden="false" customHeight="false" outlineLevel="0" collapsed="false">
      <c r="B432" s="26"/>
      <c r="J432" s="26"/>
      <c r="P432" s="26"/>
    </row>
    <row r="433" customFormat="false" ht="15" hidden="false" customHeight="false" outlineLevel="0" collapsed="false">
      <c r="B433" s="26"/>
      <c r="J433" s="26"/>
      <c r="P433" s="26"/>
    </row>
    <row r="434" customFormat="false" ht="15" hidden="false" customHeight="false" outlineLevel="0" collapsed="false">
      <c r="B434" s="26"/>
      <c r="J434" s="26"/>
      <c r="P434" s="26"/>
    </row>
    <row r="435" customFormat="false" ht="15" hidden="false" customHeight="false" outlineLevel="0" collapsed="false">
      <c r="B435" s="26"/>
      <c r="J435" s="26"/>
      <c r="P435" s="26"/>
    </row>
    <row r="436" customFormat="false" ht="15" hidden="false" customHeight="false" outlineLevel="0" collapsed="false">
      <c r="B436" s="26"/>
      <c r="J436" s="26"/>
      <c r="P436" s="26"/>
    </row>
    <row r="437" customFormat="false" ht="15" hidden="false" customHeight="false" outlineLevel="0" collapsed="false">
      <c r="B437" s="26"/>
      <c r="J437" s="26"/>
      <c r="P437" s="26"/>
    </row>
    <row r="438" customFormat="false" ht="15" hidden="false" customHeight="false" outlineLevel="0" collapsed="false">
      <c r="B438" s="26"/>
      <c r="J438" s="26"/>
      <c r="P438" s="26"/>
    </row>
    <row r="439" customFormat="false" ht="15" hidden="false" customHeight="false" outlineLevel="0" collapsed="false">
      <c r="B439" s="26"/>
      <c r="J439" s="26"/>
      <c r="P439" s="26"/>
    </row>
    <row r="440" customFormat="false" ht="15" hidden="false" customHeight="false" outlineLevel="0" collapsed="false">
      <c r="B440" s="26"/>
      <c r="J440" s="26"/>
      <c r="P440" s="26"/>
    </row>
    <row r="441" customFormat="false" ht="15" hidden="false" customHeight="false" outlineLevel="0" collapsed="false">
      <c r="B441" s="26"/>
      <c r="J441" s="26"/>
      <c r="P441" s="26"/>
    </row>
    <row r="442" customFormat="false" ht="15" hidden="false" customHeight="false" outlineLevel="0" collapsed="false">
      <c r="B442" s="26"/>
      <c r="J442" s="26"/>
      <c r="P442" s="26"/>
    </row>
    <row r="443" customFormat="false" ht="15" hidden="false" customHeight="false" outlineLevel="0" collapsed="false">
      <c r="B443" s="26"/>
      <c r="J443" s="26"/>
      <c r="P443" s="26"/>
    </row>
    <row r="444" customFormat="false" ht="15" hidden="false" customHeight="false" outlineLevel="0" collapsed="false">
      <c r="B444" s="26"/>
      <c r="J444" s="26"/>
      <c r="P444" s="26"/>
    </row>
    <row r="445" customFormat="false" ht="15" hidden="false" customHeight="false" outlineLevel="0" collapsed="false">
      <c r="B445" s="26"/>
      <c r="J445" s="26"/>
      <c r="P445" s="26"/>
    </row>
    <row r="446" customFormat="false" ht="15" hidden="false" customHeight="false" outlineLevel="0" collapsed="false">
      <c r="B446" s="26"/>
      <c r="J446" s="26"/>
      <c r="P446" s="26"/>
    </row>
    <row r="447" customFormat="false" ht="15" hidden="false" customHeight="false" outlineLevel="0" collapsed="false">
      <c r="B447" s="26"/>
      <c r="J447" s="26"/>
      <c r="P447" s="26"/>
    </row>
    <row r="448" customFormat="false" ht="15" hidden="false" customHeight="false" outlineLevel="0" collapsed="false">
      <c r="B448" s="26"/>
      <c r="J448" s="26"/>
      <c r="P448" s="26"/>
    </row>
    <row r="449" customFormat="false" ht="15" hidden="false" customHeight="false" outlineLevel="0" collapsed="false">
      <c r="B449" s="26"/>
      <c r="J449" s="26"/>
      <c r="P449" s="26"/>
    </row>
    <row r="450" customFormat="false" ht="15" hidden="false" customHeight="false" outlineLevel="0" collapsed="false">
      <c r="B450" s="26"/>
      <c r="J450" s="26"/>
      <c r="P450" s="26"/>
    </row>
    <row r="451" customFormat="false" ht="15" hidden="false" customHeight="false" outlineLevel="0" collapsed="false">
      <c r="B451" s="26"/>
      <c r="J451" s="26"/>
      <c r="P451" s="26"/>
    </row>
    <row r="452" customFormat="false" ht="15" hidden="false" customHeight="false" outlineLevel="0" collapsed="false">
      <c r="B452" s="26"/>
      <c r="J452" s="26"/>
      <c r="P452" s="26"/>
    </row>
    <row r="453" customFormat="false" ht="15" hidden="false" customHeight="false" outlineLevel="0" collapsed="false">
      <c r="B453" s="26"/>
      <c r="J453" s="26"/>
      <c r="P453" s="26"/>
    </row>
    <row r="454" customFormat="false" ht="15" hidden="false" customHeight="false" outlineLevel="0" collapsed="false">
      <c r="B454" s="26"/>
      <c r="J454" s="26"/>
      <c r="P454" s="26"/>
    </row>
    <row r="455" customFormat="false" ht="15" hidden="false" customHeight="false" outlineLevel="0" collapsed="false">
      <c r="B455" s="26"/>
      <c r="J455" s="26"/>
      <c r="P455" s="26"/>
    </row>
    <row r="456" customFormat="false" ht="15" hidden="false" customHeight="false" outlineLevel="0" collapsed="false">
      <c r="B456" s="26"/>
      <c r="J456" s="26"/>
      <c r="P456" s="26"/>
    </row>
    <row r="457" customFormat="false" ht="15" hidden="false" customHeight="false" outlineLevel="0" collapsed="false">
      <c r="B457" s="26"/>
      <c r="J457" s="26"/>
      <c r="P457" s="26"/>
    </row>
    <row r="458" customFormat="false" ht="15" hidden="false" customHeight="false" outlineLevel="0" collapsed="false">
      <c r="B458" s="26"/>
      <c r="J458" s="26"/>
      <c r="P458" s="26"/>
    </row>
    <row r="459" customFormat="false" ht="15" hidden="false" customHeight="false" outlineLevel="0" collapsed="false">
      <c r="B459" s="26"/>
      <c r="J459" s="26"/>
      <c r="P459" s="26"/>
    </row>
    <row r="460" customFormat="false" ht="15" hidden="false" customHeight="false" outlineLevel="0" collapsed="false">
      <c r="B460" s="26"/>
      <c r="J460" s="26"/>
      <c r="P460" s="26"/>
    </row>
    <row r="461" customFormat="false" ht="15" hidden="false" customHeight="false" outlineLevel="0" collapsed="false">
      <c r="B461" s="26"/>
      <c r="J461" s="26"/>
      <c r="P461" s="26"/>
    </row>
    <row r="462" customFormat="false" ht="15" hidden="false" customHeight="false" outlineLevel="0" collapsed="false">
      <c r="B462" s="26"/>
      <c r="J462" s="26"/>
      <c r="P462" s="26"/>
    </row>
    <row r="463" customFormat="false" ht="15" hidden="false" customHeight="false" outlineLevel="0" collapsed="false">
      <c r="B463" s="26"/>
      <c r="J463" s="26"/>
      <c r="P463" s="26"/>
    </row>
    <row r="464" customFormat="false" ht="15" hidden="false" customHeight="false" outlineLevel="0" collapsed="false">
      <c r="B464" s="26"/>
      <c r="J464" s="26"/>
      <c r="P464" s="26"/>
    </row>
    <row r="465" customFormat="false" ht="15" hidden="false" customHeight="false" outlineLevel="0" collapsed="false">
      <c r="B465" s="26"/>
      <c r="J465" s="26"/>
      <c r="P465" s="26"/>
    </row>
    <row r="466" customFormat="false" ht="15" hidden="false" customHeight="false" outlineLevel="0" collapsed="false">
      <c r="B466" s="26"/>
      <c r="J466" s="26"/>
      <c r="P466" s="26"/>
    </row>
    <row r="467" customFormat="false" ht="15" hidden="false" customHeight="false" outlineLevel="0" collapsed="false">
      <c r="B467" s="26"/>
      <c r="J467" s="26"/>
      <c r="P467" s="26"/>
    </row>
    <row r="468" customFormat="false" ht="15" hidden="false" customHeight="false" outlineLevel="0" collapsed="false">
      <c r="B468" s="26"/>
      <c r="J468" s="26"/>
      <c r="P468" s="26"/>
    </row>
    <row r="469" customFormat="false" ht="15" hidden="false" customHeight="false" outlineLevel="0" collapsed="false">
      <c r="B469" s="26"/>
      <c r="J469" s="26"/>
      <c r="P469" s="26"/>
    </row>
    <row r="470" customFormat="false" ht="15" hidden="false" customHeight="false" outlineLevel="0" collapsed="false">
      <c r="B470" s="26"/>
      <c r="J470" s="26"/>
      <c r="P470" s="26"/>
    </row>
    <row r="471" customFormat="false" ht="15" hidden="false" customHeight="false" outlineLevel="0" collapsed="false">
      <c r="B471" s="26"/>
      <c r="J471" s="26"/>
      <c r="P471" s="26"/>
    </row>
    <row r="472" customFormat="false" ht="15" hidden="false" customHeight="false" outlineLevel="0" collapsed="false">
      <c r="B472" s="26"/>
      <c r="J472" s="26"/>
      <c r="P472" s="26"/>
    </row>
    <row r="473" customFormat="false" ht="15" hidden="false" customHeight="false" outlineLevel="0" collapsed="false">
      <c r="B473" s="26"/>
      <c r="J473" s="26"/>
      <c r="P473" s="26"/>
    </row>
    <row r="474" customFormat="false" ht="15" hidden="false" customHeight="false" outlineLevel="0" collapsed="false">
      <c r="B474" s="26"/>
      <c r="J474" s="26"/>
      <c r="P474" s="26"/>
    </row>
    <row r="475" customFormat="false" ht="15" hidden="false" customHeight="false" outlineLevel="0" collapsed="false">
      <c r="B475" s="26"/>
      <c r="J475" s="26"/>
      <c r="P475" s="26"/>
    </row>
    <row r="476" customFormat="false" ht="15" hidden="false" customHeight="false" outlineLevel="0" collapsed="false">
      <c r="B476" s="26"/>
      <c r="J476" s="26"/>
      <c r="P476" s="26"/>
    </row>
    <row r="477" customFormat="false" ht="15" hidden="false" customHeight="false" outlineLevel="0" collapsed="false">
      <c r="B477" s="26"/>
      <c r="J477" s="26"/>
      <c r="P477" s="26"/>
    </row>
    <row r="478" customFormat="false" ht="15" hidden="false" customHeight="false" outlineLevel="0" collapsed="false">
      <c r="B478" s="26"/>
      <c r="J478" s="26"/>
      <c r="P478" s="26"/>
    </row>
    <row r="479" customFormat="false" ht="15" hidden="false" customHeight="false" outlineLevel="0" collapsed="false">
      <c r="B479" s="26"/>
      <c r="J479" s="26"/>
      <c r="P479" s="26"/>
    </row>
    <row r="480" customFormat="false" ht="15" hidden="false" customHeight="false" outlineLevel="0" collapsed="false">
      <c r="B480" s="26"/>
      <c r="J480" s="26"/>
      <c r="P480" s="26"/>
    </row>
    <row r="481" customFormat="false" ht="15" hidden="false" customHeight="false" outlineLevel="0" collapsed="false">
      <c r="B481" s="26"/>
      <c r="J481" s="26"/>
      <c r="P481" s="26"/>
    </row>
    <row r="482" customFormat="false" ht="15" hidden="false" customHeight="false" outlineLevel="0" collapsed="false">
      <c r="B482" s="26"/>
      <c r="J482" s="26"/>
      <c r="P482" s="26"/>
    </row>
    <row r="483" customFormat="false" ht="15" hidden="false" customHeight="false" outlineLevel="0" collapsed="false">
      <c r="B483" s="26"/>
      <c r="J483" s="26"/>
      <c r="P483" s="26"/>
    </row>
    <row r="484" customFormat="false" ht="15" hidden="false" customHeight="false" outlineLevel="0" collapsed="false">
      <c r="B484" s="26"/>
      <c r="J484" s="26"/>
      <c r="P484" s="26"/>
    </row>
    <row r="485" customFormat="false" ht="15" hidden="false" customHeight="false" outlineLevel="0" collapsed="false">
      <c r="B485" s="26"/>
      <c r="J485" s="26"/>
      <c r="P485" s="26"/>
    </row>
    <row r="486" customFormat="false" ht="15" hidden="false" customHeight="false" outlineLevel="0" collapsed="false">
      <c r="B486" s="26"/>
      <c r="J486" s="26"/>
      <c r="P486" s="26"/>
    </row>
    <row r="487" customFormat="false" ht="15" hidden="false" customHeight="false" outlineLevel="0" collapsed="false">
      <c r="B487" s="26"/>
      <c r="J487" s="26"/>
      <c r="P487" s="26"/>
    </row>
    <row r="488" customFormat="false" ht="15" hidden="false" customHeight="false" outlineLevel="0" collapsed="false">
      <c r="B488" s="26"/>
      <c r="J488" s="26"/>
      <c r="P488" s="26"/>
    </row>
    <row r="489" customFormat="false" ht="15" hidden="false" customHeight="false" outlineLevel="0" collapsed="false">
      <c r="B489" s="26"/>
      <c r="J489" s="26"/>
      <c r="P489" s="26"/>
    </row>
    <row r="490" customFormat="false" ht="15" hidden="false" customHeight="false" outlineLevel="0" collapsed="false">
      <c r="B490" s="26"/>
      <c r="J490" s="26"/>
      <c r="P490" s="26"/>
    </row>
    <row r="491" customFormat="false" ht="15" hidden="false" customHeight="false" outlineLevel="0" collapsed="false">
      <c r="B491" s="26"/>
      <c r="J491" s="26"/>
      <c r="P491" s="26"/>
    </row>
    <row r="492" customFormat="false" ht="15" hidden="false" customHeight="false" outlineLevel="0" collapsed="false">
      <c r="B492" s="26"/>
      <c r="J492" s="26"/>
      <c r="P492" s="26"/>
    </row>
    <row r="493" customFormat="false" ht="15" hidden="false" customHeight="false" outlineLevel="0" collapsed="false">
      <c r="B493" s="26"/>
      <c r="J493" s="26"/>
      <c r="P493" s="26"/>
    </row>
    <row r="494" customFormat="false" ht="15" hidden="false" customHeight="false" outlineLevel="0" collapsed="false">
      <c r="B494" s="26"/>
      <c r="J494" s="26"/>
      <c r="P494" s="26"/>
    </row>
    <row r="495" customFormat="false" ht="15" hidden="false" customHeight="false" outlineLevel="0" collapsed="false">
      <c r="B495" s="26"/>
      <c r="J495" s="26"/>
      <c r="P495" s="26"/>
    </row>
    <row r="496" customFormat="false" ht="15" hidden="false" customHeight="false" outlineLevel="0" collapsed="false">
      <c r="B496" s="26"/>
      <c r="J496" s="26"/>
      <c r="P496" s="26"/>
    </row>
    <row r="497" customFormat="false" ht="15" hidden="false" customHeight="false" outlineLevel="0" collapsed="false">
      <c r="B497" s="26"/>
      <c r="J497" s="26"/>
      <c r="P497" s="26"/>
    </row>
    <row r="498" customFormat="false" ht="15" hidden="false" customHeight="false" outlineLevel="0" collapsed="false">
      <c r="B498" s="26"/>
      <c r="J498" s="26"/>
      <c r="P498" s="26"/>
    </row>
    <row r="499" customFormat="false" ht="15" hidden="false" customHeight="false" outlineLevel="0" collapsed="false">
      <c r="B499" s="26"/>
      <c r="J499" s="26"/>
      <c r="P499" s="26"/>
    </row>
    <row r="500" customFormat="false" ht="15" hidden="false" customHeight="false" outlineLevel="0" collapsed="false">
      <c r="B500" s="26"/>
      <c r="J500" s="26"/>
      <c r="P500" s="26"/>
    </row>
  </sheetData>
  <autoFilter ref="A1:U2"/>
  <conditionalFormatting sqref="D2:D500">
    <cfRule type="cellIs" priority="2" operator="between" aboveAverage="0" equalAverage="0" bottom="0" percent="0" rank="0" text="" dxfId="10">
      <formula>50</formula>
      <formula>60</formula>
    </cfRule>
    <cfRule type="cellIs" priority="3" operator="greaterThan" aboveAverage="0" equalAverage="0" bottom="0" percent="0" rank="0" text="" dxfId="11">
      <formula>60</formula>
    </cfRule>
    <cfRule type="cellIs" priority="4" operator="lessThan" aboveAverage="0" equalAverage="0" bottom="0" percent="0" rank="0" text="" dxfId="11">
      <formula>30</formula>
    </cfRule>
    <cfRule type="cellIs" priority="5" operator="between" aboveAverage="0" equalAverage="0" bottom="0" percent="0" rank="0" text="" dxfId="12">
      <formula>30</formula>
      <formula>49</formula>
    </cfRule>
  </conditionalFormatting>
  <conditionalFormatting sqref="F2:F500">
    <cfRule type="cellIs" priority="6" operator="between" aboveAverage="0" equalAverage="0" bottom="0" percent="0" rank="0" text="" dxfId="10">
      <formula>120</formula>
      <formula>155</formula>
    </cfRule>
    <cfRule type="cellIs" priority="7" operator="greaterThan" aboveAverage="0" equalAverage="0" bottom="0" percent="0" rank="0" text="" dxfId="11">
      <formula>155</formula>
    </cfRule>
    <cfRule type="cellIs" priority="8" operator="lessThan" aboveAverage="0" equalAverage="0" bottom="0" percent="0" rank="0" text="" dxfId="11">
      <formula>80</formula>
    </cfRule>
    <cfRule type="cellIs" priority="9" operator="between" aboveAverage="0" equalAverage="0" bottom="0" percent="0" rank="0" text="" dxfId="12">
      <formula>80</formula>
      <formula>119</formula>
    </cfRule>
  </conditionalFormatting>
  <conditionalFormatting sqref="T2:T500">
    <cfRule type="cellIs" priority="10" operator="equal" aboveAverage="0" equalAverage="0" bottom="0" percent="0" rank="0" text="" dxfId="11">
      <formula>0</formula>
    </cfRule>
  </conditionalFormatting>
  <dataValidations count="4">
    <dataValidation allowBlank="true" errorStyle="stop" operator="between" showDropDown="false" showErrorMessage="false" showInputMessage="false" sqref="J2:J500" type="list">
      <formula1>Lookups!$B$4:$B$8</formula1>
      <formula2>0</formula2>
    </dataValidation>
    <dataValidation allowBlank="true" errorStyle="stop" operator="between" showDropDown="false" showErrorMessage="false" showInputMessage="false" sqref="Q2:Q500" type="list">
      <formula1>Lookups!$A$4:$A$10</formula1>
      <formula2>0</formula2>
    </dataValidation>
    <dataValidation allowBlank="true" errorStyle="stop" operator="between" showDropDown="false" showErrorMessage="false" showInputMessage="false" sqref="P2:P500" type="list">
      <formula1>Lookups!$E$4:$E$8</formula1>
      <formula2>0</formula2>
    </dataValidation>
    <dataValidation allowBlank="true" errorStyle="stop" operator="between" showDropDown="false" showErrorMessage="false" showInputMessage="false" sqref="B2:B500" type="list">
      <formula1>Lookups!$F$4:$F$18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60"/>
    <col collapsed="false" customWidth="true" hidden="false" outlineLevel="0" max="9" min="8" style="0" width="15"/>
    <col collapsed="false" customWidth="true" hidden="false" outlineLevel="0" max="10" min="10" style="0" width="40"/>
    <col collapsed="false" customWidth="true" hidden="false" outlineLevel="0" max="11" min="11" style="0" width="50"/>
  </cols>
  <sheetData>
    <row r="1" customFormat="false" ht="31.5" hidden="false" customHeight="true" outlineLevel="0" collapsed="false">
      <c r="A1" s="21" t="s">
        <v>473</v>
      </c>
      <c r="B1" s="21" t="s">
        <v>95</v>
      </c>
      <c r="C1" s="21" t="s">
        <v>474</v>
      </c>
      <c r="D1" s="21" t="s">
        <v>475</v>
      </c>
      <c r="E1" s="21" t="s">
        <v>476</v>
      </c>
      <c r="F1" s="21" t="s">
        <v>477</v>
      </c>
      <c r="G1" s="21" t="s">
        <v>478</v>
      </c>
      <c r="H1" s="21" t="s">
        <v>94</v>
      </c>
      <c r="I1" s="21" t="s">
        <v>479</v>
      </c>
      <c r="J1" s="21" t="s">
        <v>480</v>
      </c>
      <c r="K1" s="21" t="s">
        <v>167</v>
      </c>
    </row>
    <row r="2" customFormat="false" ht="15" hidden="false" customHeight="false" outlineLevel="0" collapsed="false">
      <c r="A2" s="27" t="s">
        <v>204</v>
      </c>
      <c r="B2" s="30" t="s">
        <v>109</v>
      </c>
      <c r="C2" s="0" t="n">
        <v>1900</v>
      </c>
      <c r="D2" s="0" t="n">
        <v>1</v>
      </c>
      <c r="F2" s="0" t="n">
        <v>1</v>
      </c>
      <c r="G2" s="0" t="s">
        <v>200</v>
      </c>
      <c r="H2" s="26" t="s">
        <v>104</v>
      </c>
      <c r="I2" s="0" t="n">
        <f aca="false">IF(AND(C2&lt;&gt;"",D2&lt;&gt;""),C2*(101-D2)/100,"")</f>
        <v>1900</v>
      </c>
      <c r="J2" s="0" t="s">
        <v>481</v>
      </c>
    </row>
    <row r="3" customFormat="false" ht="15" hidden="false" customHeight="false" outlineLevel="0" collapsed="false">
      <c r="A3" s="27" t="s">
        <v>482</v>
      </c>
      <c r="B3" s="30" t="s">
        <v>109</v>
      </c>
      <c r="C3" s="0" t="n">
        <v>1900</v>
      </c>
      <c r="D3" s="0" t="n">
        <v>11</v>
      </c>
      <c r="F3" s="0" t="n">
        <v>3</v>
      </c>
      <c r="G3" s="0" t="s">
        <v>200</v>
      </c>
      <c r="H3" s="26" t="s">
        <v>104</v>
      </c>
      <c r="I3" s="0" t="n">
        <f aca="false">IF(AND(C3&lt;&gt;"",D3&lt;&gt;""),C3*(101-D3)/100,"")</f>
        <v>1710</v>
      </c>
      <c r="J3" s="0" t="s">
        <v>483</v>
      </c>
    </row>
    <row r="4" customFormat="false" ht="15" hidden="false" customHeight="false" outlineLevel="0" collapsed="false">
      <c r="A4" s="27" t="s">
        <v>484</v>
      </c>
      <c r="B4" s="30" t="s">
        <v>109</v>
      </c>
      <c r="C4" s="0" t="n">
        <v>1200</v>
      </c>
      <c r="D4" s="0" t="n">
        <v>20</v>
      </c>
      <c r="F4" s="0" t="n">
        <v>5</v>
      </c>
      <c r="G4" s="0" t="s">
        <v>200</v>
      </c>
      <c r="H4" s="26" t="s">
        <v>104</v>
      </c>
      <c r="I4" s="0" t="n">
        <f aca="false">IF(AND(C4&lt;&gt;"",D4&lt;&gt;""),C4*(101-D4)/100,"")</f>
        <v>972</v>
      </c>
      <c r="J4" s="0" t="s">
        <v>485</v>
      </c>
    </row>
    <row r="5" customFormat="false" ht="15" hidden="false" customHeight="false" outlineLevel="0" collapsed="false">
      <c r="A5" s="0" t="s">
        <v>173</v>
      </c>
      <c r="B5" s="31" t="s">
        <v>123</v>
      </c>
      <c r="C5" s="0" t="n">
        <v>900</v>
      </c>
      <c r="D5" s="0" t="n">
        <v>1</v>
      </c>
      <c r="E5" s="0" t="n">
        <v>1</v>
      </c>
      <c r="F5" s="0" t="n">
        <v>1</v>
      </c>
      <c r="G5" s="0" t="s">
        <v>168</v>
      </c>
      <c r="H5" s="26" t="s">
        <v>104</v>
      </c>
      <c r="I5" s="0" t="n">
        <f aca="false">IF(AND(C5&lt;&gt;"",D5&lt;&gt;""),C5*(101-D5)/100,"")</f>
        <v>900</v>
      </c>
      <c r="J5" s="0" t="s">
        <v>486</v>
      </c>
    </row>
    <row r="6" customFormat="false" ht="15" hidden="false" customHeight="false" outlineLevel="0" collapsed="false">
      <c r="A6" s="0" t="s">
        <v>212</v>
      </c>
      <c r="B6" s="30" t="s">
        <v>109</v>
      </c>
      <c r="C6" s="0" t="n">
        <v>1000</v>
      </c>
      <c r="D6" s="0" t="n">
        <v>47</v>
      </c>
      <c r="F6" s="0" t="n">
        <v>5</v>
      </c>
      <c r="G6" s="0" t="s">
        <v>208</v>
      </c>
      <c r="H6" s="26" t="s">
        <v>104</v>
      </c>
      <c r="I6" s="0" t="n">
        <f aca="false">IF(AND(C6&lt;&gt;"",D6&lt;&gt;""),C6*(101-D6)/100,"")</f>
        <v>540</v>
      </c>
      <c r="J6" s="0" t="s">
        <v>487</v>
      </c>
    </row>
    <row r="7" customFormat="false" ht="15" hidden="false" customHeight="false" outlineLevel="0" collapsed="false">
      <c r="A7" s="0" t="s">
        <v>488</v>
      </c>
      <c r="B7" s="30" t="s">
        <v>109</v>
      </c>
      <c r="C7" s="0" t="n">
        <v>200</v>
      </c>
      <c r="D7" s="0" t="n">
        <v>68</v>
      </c>
      <c r="F7" s="0" t="n">
        <v>10</v>
      </c>
      <c r="G7" s="0" t="s">
        <v>200</v>
      </c>
      <c r="H7" s="26" t="s">
        <v>104</v>
      </c>
      <c r="I7" s="0" t="n">
        <f aca="false">IF(AND(C7&lt;&gt;"",D7&lt;&gt;""),C7*(101-D7)/100,"")</f>
        <v>66</v>
      </c>
      <c r="J7" s="0" t="s">
        <v>489</v>
      </c>
    </row>
    <row r="8" customFormat="false" ht="15" hidden="false" customHeight="false" outlineLevel="0" collapsed="false">
      <c r="A8" s="0" t="s">
        <v>490</v>
      </c>
      <c r="B8" s="30" t="s">
        <v>109</v>
      </c>
      <c r="C8" s="0" t="n">
        <v>200</v>
      </c>
      <c r="D8" s="0" t="n">
        <v>32</v>
      </c>
      <c r="E8" s="0" t="n">
        <v>7</v>
      </c>
      <c r="F8" s="0" t="n">
        <v>5</v>
      </c>
      <c r="G8" s="0" t="s">
        <v>244</v>
      </c>
      <c r="H8" s="26" t="s">
        <v>104</v>
      </c>
      <c r="I8" s="0" t="n">
        <f aca="false">IF(AND(C8&lt;&gt;"",D8&lt;&gt;""),C8*(101-D8)/100,"")</f>
        <v>138</v>
      </c>
      <c r="J8" s="0" t="s">
        <v>491</v>
      </c>
    </row>
    <row r="9" customFormat="false" ht="15" hidden="false" customHeight="false" outlineLevel="0" collapsed="false">
      <c r="A9" s="0" t="s">
        <v>248</v>
      </c>
      <c r="B9" s="30" t="s">
        <v>109</v>
      </c>
      <c r="C9" s="0" t="n">
        <v>40</v>
      </c>
      <c r="D9" s="0" t="n">
        <v>30</v>
      </c>
      <c r="F9" s="0" t="n">
        <v>5</v>
      </c>
      <c r="G9" s="0" t="s">
        <v>244</v>
      </c>
      <c r="H9" s="26" t="s">
        <v>104</v>
      </c>
      <c r="I9" s="0" t="n">
        <f aca="false">IF(AND(C9&lt;&gt;"",D9&lt;&gt;""),C9*(101-D9)/100,"")</f>
        <v>28.4</v>
      </c>
      <c r="J9" s="0" t="s">
        <v>489</v>
      </c>
    </row>
    <row r="10" customFormat="false" ht="15" hidden="false" customHeight="false" outlineLevel="0" collapsed="false">
      <c r="A10" s="27" t="s">
        <v>492</v>
      </c>
      <c r="B10" s="30" t="s">
        <v>109</v>
      </c>
      <c r="C10" s="0" t="n">
        <v>500</v>
      </c>
      <c r="D10" s="0" t="n">
        <v>36</v>
      </c>
      <c r="F10" s="0" t="n">
        <v>5</v>
      </c>
      <c r="G10" s="0" t="s">
        <v>200</v>
      </c>
      <c r="H10" s="26" t="s">
        <v>104</v>
      </c>
      <c r="I10" s="0" t="n">
        <f aca="false">IF(AND(C10&lt;&gt;"",D10&lt;&gt;""),C10*(101-D10)/100,"")</f>
        <v>325</v>
      </c>
      <c r="J10" s="0" t="s">
        <v>493</v>
      </c>
    </row>
    <row r="11" customFormat="false" ht="15" hidden="false" customHeight="false" outlineLevel="0" collapsed="false">
      <c r="A11" s="0" t="s">
        <v>494</v>
      </c>
      <c r="B11" s="30" t="s">
        <v>109</v>
      </c>
      <c r="C11" s="0" t="n">
        <v>100</v>
      </c>
      <c r="D11" s="0" t="n">
        <v>77</v>
      </c>
      <c r="E11" s="0" t="n">
        <v>11</v>
      </c>
      <c r="F11" s="0" t="n">
        <v>5</v>
      </c>
      <c r="G11" s="0" t="s">
        <v>200</v>
      </c>
      <c r="H11" s="26" t="s">
        <v>104</v>
      </c>
      <c r="I11" s="0" t="n">
        <f aca="false">IF(AND(C11&lt;&gt;"",D11&lt;&gt;""),C11*(101-D11)/100,"")</f>
        <v>24</v>
      </c>
      <c r="J11" s="0" t="s">
        <v>483</v>
      </c>
    </row>
    <row r="12" customFormat="false" ht="15" hidden="false" customHeight="false" outlineLevel="0" collapsed="false">
      <c r="A12" s="27" t="s">
        <v>495</v>
      </c>
      <c r="B12" s="30" t="s">
        <v>109</v>
      </c>
      <c r="C12" s="0" t="n">
        <v>150</v>
      </c>
      <c r="D12" s="0" t="n">
        <v>22</v>
      </c>
      <c r="F12" s="0" t="n">
        <v>3</v>
      </c>
      <c r="G12" s="0" t="s">
        <v>288</v>
      </c>
      <c r="H12" s="26" t="s">
        <v>104</v>
      </c>
      <c r="I12" s="0" t="n">
        <f aca="false">IF(AND(C12&lt;&gt;"",D12&lt;&gt;""),C12*(101-D12)/100,"")</f>
        <v>118.5</v>
      </c>
      <c r="J12" s="0" t="s">
        <v>481</v>
      </c>
    </row>
    <row r="13" customFormat="false" ht="15" hidden="false" customHeight="false" outlineLevel="0" collapsed="false">
      <c r="A13" s="0" t="s">
        <v>496</v>
      </c>
      <c r="B13" s="30" t="s">
        <v>109</v>
      </c>
      <c r="C13" s="0" t="n">
        <v>200</v>
      </c>
      <c r="D13" s="0" t="n">
        <v>22</v>
      </c>
      <c r="E13" s="0" t="n">
        <v>7</v>
      </c>
      <c r="F13" s="0" t="n">
        <v>5</v>
      </c>
      <c r="G13" s="0" t="s">
        <v>288</v>
      </c>
      <c r="H13" s="26" t="s">
        <v>104</v>
      </c>
      <c r="I13" s="0" t="n">
        <f aca="false">IF(AND(C13&lt;&gt;"",D13&lt;&gt;""),C13*(101-D13)/100,"")</f>
        <v>158</v>
      </c>
      <c r="J13" s="0" t="s">
        <v>483</v>
      </c>
    </row>
    <row r="14" customFormat="false" ht="15" hidden="false" customHeight="false" outlineLevel="0" collapsed="false">
      <c r="A14" s="0" t="s">
        <v>497</v>
      </c>
      <c r="B14" s="30" t="s">
        <v>109</v>
      </c>
      <c r="C14" s="0" t="n">
        <v>150</v>
      </c>
      <c r="D14" s="0" t="n">
        <v>28</v>
      </c>
      <c r="E14" s="0" t="n">
        <v>7</v>
      </c>
      <c r="F14" s="0" t="n">
        <v>5</v>
      </c>
      <c r="G14" s="0" t="s">
        <v>288</v>
      </c>
      <c r="H14" s="26" t="s">
        <v>104</v>
      </c>
      <c r="I14" s="0" t="n">
        <f aca="false">IF(AND(C14&lt;&gt;"",D14&lt;&gt;""),C14*(101-D14)/100,"")</f>
        <v>109.5</v>
      </c>
      <c r="J14" s="0" t="s">
        <v>489</v>
      </c>
    </row>
    <row r="15" customFormat="false" ht="15" hidden="false" customHeight="false" outlineLevel="0" collapsed="false">
      <c r="A15" s="0" t="s">
        <v>498</v>
      </c>
      <c r="B15" s="30" t="s">
        <v>109</v>
      </c>
      <c r="C15" s="0" t="n">
        <v>100</v>
      </c>
      <c r="D15" s="0" t="n">
        <v>37</v>
      </c>
      <c r="E15" s="0" t="n">
        <v>7</v>
      </c>
      <c r="F15" s="0" t="n">
        <v>5</v>
      </c>
      <c r="G15" s="0" t="s">
        <v>288</v>
      </c>
      <c r="H15" s="26" t="s">
        <v>104</v>
      </c>
      <c r="I15" s="0" t="n">
        <f aca="false">IF(AND(C15&lt;&gt;"",D15&lt;&gt;""),C15*(101-D15)/100,"")</f>
        <v>64</v>
      </c>
      <c r="J15" s="0" t="s">
        <v>499</v>
      </c>
    </row>
    <row r="16" customFormat="false" ht="15" hidden="false" customHeight="false" outlineLevel="0" collapsed="false">
      <c r="A16" s="0" t="s">
        <v>500</v>
      </c>
      <c r="B16" s="30" t="s">
        <v>109</v>
      </c>
      <c r="C16" s="0" t="n">
        <v>150</v>
      </c>
      <c r="D16" s="0" t="n">
        <v>47</v>
      </c>
      <c r="F16" s="0" t="n">
        <v>5</v>
      </c>
      <c r="G16" s="0" t="s">
        <v>200</v>
      </c>
      <c r="H16" s="26" t="s">
        <v>104</v>
      </c>
      <c r="I16" s="0" t="n">
        <f aca="false">IF(AND(C16&lt;&gt;"",D16&lt;&gt;""),C16*(101-D16)/100,"")</f>
        <v>81</v>
      </c>
      <c r="J16" s="0" t="s">
        <v>501</v>
      </c>
    </row>
    <row r="17" customFormat="false" ht="15" hidden="false" customHeight="false" outlineLevel="0" collapsed="false">
      <c r="A17" s="27" t="s">
        <v>502</v>
      </c>
      <c r="B17" s="30" t="s">
        <v>109</v>
      </c>
      <c r="C17" s="0" t="n">
        <v>150</v>
      </c>
      <c r="D17" s="0" t="n">
        <v>0</v>
      </c>
      <c r="F17" s="0" t="n">
        <v>3</v>
      </c>
      <c r="G17" s="0" t="s">
        <v>200</v>
      </c>
      <c r="H17" s="26" t="s">
        <v>104</v>
      </c>
      <c r="I17" s="0" t="n">
        <f aca="false">IF(AND(C17&lt;&gt;"",D17&lt;&gt;""),C17*(101-D17)/100,"")</f>
        <v>151.5</v>
      </c>
      <c r="J17" s="0" t="s">
        <v>481</v>
      </c>
    </row>
    <row r="18" customFormat="false" ht="15" hidden="false" customHeight="false" outlineLevel="0" collapsed="false">
      <c r="A18" s="0" t="s">
        <v>503</v>
      </c>
      <c r="B18" s="32" t="s">
        <v>102</v>
      </c>
      <c r="C18" s="0" t="n">
        <v>100</v>
      </c>
      <c r="D18" s="0" t="n">
        <v>0</v>
      </c>
      <c r="F18" s="0" t="n">
        <v>5</v>
      </c>
      <c r="G18" s="0" t="s">
        <v>237</v>
      </c>
      <c r="H18" s="26" t="s">
        <v>104</v>
      </c>
      <c r="I18" s="0" t="n">
        <f aca="false">IF(AND(C18&lt;&gt;"",D18&lt;&gt;""),C18*(101-D18)/100,"")</f>
        <v>101</v>
      </c>
      <c r="J18" s="0" t="s">
        <v>504</v>
      </c>
    </row>
    <row r="19" customFormat="false" ht="15" hidden="false" customHeight="false" outlineLevel="0" collapsed="false">
      <c r="A19" s="0" t="s">
        <v>505</v>
      </c>
      <c r="B19" s="32" t="s">
        <v>102</v>
      </c>
      <c r="C19" s="0" t="n">
        <v>80</v>
      </c>
      <c r="D19" s="0" t="n">
        <v>0</v>
      </c>
      <c r="F19" s="0" t="n">
        <v>5</v>
      </c>
      <c r="G19" s="0" t="s">
        <v>200</v>
      </c>
      <c r="H19" s="26" t="s">
        <v>104</v>
      </c>
      <c r="I19" s="0" t="n">
        <f aca="false">IF(AND(C19&lt;&gt;"",D19&lt;&gt;""),C19*(101-D19)/100,"")</f>
        <v>80.8</v>
      </c>
      <c r="J19" s="0" t="s">
        <v>506</v>
      </c>
    </row>
    <row r="20" customFormat="false" ht="15" hidden="false" customHeight="false" outlineLevel="0" collapsed="false">
      <c r="A20" s="0" t="s">
        <v>507</v>
      </c>
      <c r="B20" s="30" t="s">
        <v>109</v>
      </c>
      <c r="C20" s="0" t="n">
        <v>80</v>
      </c>
      <c r="D20" s="0" t="n">
        <v>10</v>
      </c>
      <c r="F20" s="0" t="n">
        <v>5</v>
      </c>
      <c r="G20" s="0" t="s">
        <v>288</v>
      </c>
      <c r="H20" s="26" t="s">
        <v>104</v>
      </c>
      <c r="I20" s="0" t="n">
        <f aca="false">IF(AND(C20&lt;&gt;"",D20&lt;&gt;""),C20*(101-D20)/100,"")</f>
        <v>72.8</v>
      </c>
      <c r="J20" s="0" t="s">
        <v>483</v>
      </c>
    </row>
    <row r="21" customFormat="false" ht="15" hidden="false" customHeight="false" outlineLevel="0" collapsed="false">
      <c r="A21" s="0" t="s">
        <v>508</v>
      </c>
      <c r="B21" s="32" t="s">
        <v>102</v>
      </c>
      <c r="C21" s="0" t="n">
        <v>60</v>
      </c>
      <c r="D21" s="0" t="n">
        <v>0</v>
      </c>
      <c r="F21" s="0" t="n">
        <v>5</v>
      </c>
      <c r="G21" s="0" t="s">
        <v>272</v>
      </c>
      <c r="H21" s="26" t="s">
        <v>104</v>
      </c>
      <c r="I21" s="0" t="n">
        <f aca="false">IF(AND(C21&lt;&gt;"",D21&lt;&gt;""),C21*(101-D21)/100,"")</f>
        <v>60.6</v>
      </c>
      <c r="J21" s="0" t="s">
        <v>509</v>
      </c>
    </row>
    <row r="22" customFormat="false" ht="15" hidden="false" customHeight="false" outlineLevel="0" collapsed="false">
      <c r="A22" s="0" t="s">
        <v>510</v>
      </c>
      <c r="B22" s="32" t="s">
        <v>102</v>
      </c>
      <c r="C22" s="0" t="n">
        <v>60</v>
      </c>
      <c r="D22" s="0" t="n">
        <v>1</v>
      </c>
      <c r="F22" s="0" t="n">
        <v>10</v>
      </c>
      <c r="G22" s="0" t="s">
        <v>186</v>
      </c>
      <c r="H22" s="26" t="s">
        <v>104</v>
      </c>
      <c r="I22" s="0" t="n">
        <f aca="false">IF(AND(C22&lt;&gt;"",D22&lt;&gt;""),C22*(101-D22)/100,"")</f>
        <v>60</v>
      </c>
      <c r="J22" s="0" t="s">
        <v>511</v>
      </c>
    </row>
    <row r="23" customFormat="false" ht="15" hidden="false" customHeight="false" outlineLevel="0" collapsed="false">
      <c r="A23" s="0" t="s">
        <v>512</v>
      </c>
      <c r="B23" s="30" t="s">
        <v>109</v>
      </c>
      <c r="C23" s="0" t="n">
        <v>250</v>
      </c>
      <c r="D23" s="0" t="n">
        <v>50</v>
      </c>
      <c r="F23" s="0" t="n">
        <v>5</v>
      </c>
      <c r="G23" s="0" t="s">
        <v>288</v>
      </c>
      <c r="H23" s="26" t="s">
        <v>104</v>
      </c>
      <c r="I23" s="0" t="n">
        <f aca="false">IF(AND(C23&lt;&gt;"",D23&lt;&gt;""),C23*(101-D23)/100,"")</f>
        <v>127.5</v>
      </c>
      <c r="J23" s="0" t="s">
        <v>513</v>
      </c>
    </row>
    <row r="24" customFormat="false" ht="15" hidden="false" customHeight="false" outlineLevel="0" collapsed="false">
      <c r="A24" s="0" t="s">
        <v>514</v>
      </c>
      <c r="B24" s="30" t="s">
        <v>109</v>
      </c>
      <c r="C24" s="0" t="n">
        <v>90</v>
      </c>
      <c r="D24" s="0" t="n">
        <v>49</v>
      </c>
      <c r="F24" s="0" t="n">
        <v>5</v>
      </c>
      <c r="G24" s="0" t="s">
        <v>200</v>
      </c>
      <c r="H24" s="26" t="s">
        <v>104</v>
      </c>
      <c r="I24" s="0" t="n">
        <f aca="false">IF(AND(C24&lt;&gt;"",D24&lt;&gt;""),C24*(101-D24)/100,"")</f>
        <v>46.8</v>
      </c>
      <c r="J24" s="0" t="s">
        <v>489</v>
      </c>
    </row>
    <row r="25" customFormat="false" ht="15" hidden="false" customHeight="false" outlineLevel="0" collapsed="false">
      <c r="A25" s="0" t="s">
        <v>515</v>
      </c>
      <c r="B25" s="30" t="s">
        <v>109</v>
      </c>
      <c r="C25" s="0" t="n">
        <v>90</v>
      </c>
      <c r="D25" s="0" t="n">
        <v>26</v>
      </c>
      <c r="F25" s="0" t="n">
        <v>5</v>
      </c>
      <c r="G25" s="0" t="s">
        <v>288</v>
      </c>
      <c r="H25" s="26" t="s">
        <v>104</v>
      </c>
      <c r="I25" s="0" t="n">
        <f aca="false">IF(AND(C25&lt;&gt;"",D25&lt;&gt;""),C25*(101-D25)/100,"")</f>
        <v>67.5</v>
      </c>
      <c r="J25" s="0" t="s">
        <v>481</v>
      </c>
    </row>
    <row r="26" customFormat="false" ht="15" hidden="false" customHeight="false" outlineLevel="0" collapsed="false">
      <c r="A26" s="0" t="s">
        <v>516</v>
      </c>
      <c r="B26" s="30" t="s">
        <v>109</v>
      </c>
      <c r="C26" s="0" t="n">
        <v>60</v>
      </c>
      <c r="D26" s="0" t="n">
        <v>35</v>
      </c>
      <c r="F26" s="0" t="n">
        <v>5</v>
      </c>
      <c r="G26" s="0" t="s">
        <v>304</v>
      </c>
      <c r="H26" s="26" t="s">
        <v>104</v>
      </c>
      <c r="I26" s="0" t="n">
        <f aca="false">IF(AND(C26&lt;&gt;"",D26&lt;&gt;""),C26*(101-D26)/100,"")</f>
        <v>39.6</v>
      </c>
      <c r="J26" s="0" t="s">
        <v>513</v>
      </c>
    </row>
    <row r="27" customFormat="false" ht="15" hidden="false" customHeight="false" outlineLevel="0" collapsed="false">
      <c r="A27" s="0" t="s">
        <v>517</v>
      </c>
      <c r="B27" s="30" t="s">
        <v>109</v>
      </c>
      <c r="C27" s="0" t="n">
        <v>60</v>
      </c>
      <c r="D27" s="0" t="n">
        <v>39</v>
      </c>
      <c r="E27" s="0" t="n">
        <v>5</v>
      </c>
      <c r="F27" s="0" t="n">
        <v>3</v>
      </c>
      <c r="G27" s="0" t="s">
        <v>288</v>
      </c>
      <c r="H27" s="26" t="s">
        <v>104</v>
      </c>
      <c r="I27" s="0" t="n">
        <f aca="false">IF(AND(C27&lt;&gt;"",D27&lt;&gt;""),C27*(101-D27)/100,"")</f>
        <v>37.2</v>
      </c>
      <c r="J27" s="0" t="s">
        <v>518</v>
      </c>
    </row>
    <row r="28" customFormat="false" ht="15" hidden="false" customHeight="false" outlineLevel="0" collapsed="false">
      <c r="A28" s="0" t="s">
        <v>519</v>
      </c>
      <c r="B28" s="30" t="s">
        <v>109</v>
      </c>
      <c r="C28" s="0" t="n">
        <v>60</v>
      </c>
      <c r="D28" s="0" t="n">
        <v>37</v>
      </c>
      <c r="F28" s="0" t="n">
        <v>5</v>
      </c>
      <c r="G28" s="0" t="s">
        <v>288</v>
      </c>
      <c r="H28" s="26" t="s">
        <v>104</v>
      </c>
      <c r="I28" s="0" t="n">
        <f aca="false">IF(AND(C28&lt;&gt;"",D28&lt;&gt;""),C28*(101-D28)/100,"")</f>
        <v>38.4</v>
      </c>
      <c r="J28" s="0" t="s">
        <v>483</v>
      </c>
    </row>
    <row r="29" customFormat="false" ht="15" hidden="false" customHeight="false" outlineLevel="0" collapsed="false">
      <c r="A29" s="0" t="s">
        <v>520</v>
      </c>
      <c r="B29" s="30" t="s">
        <v>109</v>
      </c>
      <c r="C29" s="0" t="n">
        <v>60</v>
      </c>
      <c r="F29" s="0" t="n">
        <v>3</v>
      </c>
      <c r="G29" s="0" t="s">
        <v>288</v>
      </c>
      <c r="H29" s="26" t="s">
        <v>104</v>
      </c>
    </row>
    <row r="30" customFormat="false" ht="15" hidden="false" customHeight="false" outlineLevel="0" collapsed="false">
      <c r="A30" s="0" t="s">
        <v>521</v>
      </c>
      <c r="B30" s="30" t="s">
        <v>109</v>
      </c>
      <c r="C30" s="0" t="n">
        <v>60</v>
      </c>
      <c r="F30" s="0" t="n">
        <v>3</v>
      </c>
      <c r="G30" s="0" t="s">
        <v>409</v>
      </c>
      <c r="H30" s="26" t="s">
        <v>104</v>
      </c>
    </row>
    <row r="31" customFormat="false" ht="15" hidden="false" customHeight="false" outlineLevel="0" collapsed="false">
      <c r="A31" s="0" t="s">
        <v>522</v>
      </c>
      <c r="B31" s="32" t="s">
        <v>102</v>
      </c>
      <c r="C31" s="0" t="n">
        <v>70</v>
      </c>
      <c r="D31" s="0" t="n">
        <v>0</v>
      </c>
      <c r="F31" s="0" t="n">
        <v>5</v>
      </c>
      <c r="G31" s="0" t="s">
        <v>200</v>
      </c>
      <c r="H31" s="26" t="s">
        <v>104</v>
      </c>
      <c r="I31" s="0" t="n">
        <f aca="false">IF(AND(C31&lt;&gt;"",D31&lt;&gt;""),C31*(101-D31)/100,"")</f>
        <v>70.7</v>
      </c>
      <c r="J31" s="0" t="s">
        <v>506</v>
      </c>
    </row>
    <row r="32" customFormat="false" ht="15" hidden="false" customHeight="false" outlineLevel="0" collapsed="false">
      <c r="A32" s="0" t="s">
        <v>523</v>
      </c>
      <c r="B32" s="32" t="s">
        <v>102</v>
      </c>
      <c r="C32" s="0" t="n">
        <v>100</v>
      </c>
      <c r="D32" s="0" t="n">
        <v>0</v>
      </c>
      <c r="F32" s="0" t="n">
        <v>5</v>
      </c>
      <c r="G32" s="0" t="s">
        <v>281</v>
      </c>
      <c r="H32" s="26" t="s">
        <v>104</v>
      </c>
      <c r="I32" s="0" t="n">
        <f aca="false">IF(AND(C32&lt;&gt;"",D32&lt;&gt;""),C32*(101-D32)/100,"")</f>
        <v>101</v>
      </c>
      <c r="J32" s="0" t="s">
        <v>524</v>
      </c>
    </row>
    <row r="33" customFormat="false" ht="15" hidden="false" customHeight="false" outlineLevel="0" collapsed="false">
      <c r="A33" s="0" t="s">
        <v>525</v>
      </c>
      <c r="B33" s="30" t="s">
        <v>109</v>
      </c>
      <c r="C33" s="0" t="n">
        <v>200</v>
      </c>
      <c r="D33" s="0" t="n">
        <v>7</v>
      </c>
      <c r="E33" s="0" t="n">
        <v>3</v>
      </c>
      <c r="F33" s="0" t="n">
        <v>1</v>
      </c>
      <c r="G33" s="0" t="s">
        <v>296</v>
      </c>
      <c r="H33" s="26" t="s">
        <v>104</v>
      </c>
      <c r="I33" s="0" t="n">
        <f aca="false">IF(AND(C33&lt;&gt;"",D33&lt;&gt;""),C33*(101-D33)/100,"")</f>
        <v>188</v>
      </c>
      <c r="J33" s="0" t="s">
        <v>501</v>
      </c>
    </row>
    <row r="34" customFormat="false" ht="15" hidden="false" customHeight="false" outlineLevel="0" collapsed="false">
      <c r="A34" s="0" t="s">
        <v>526</v>
      </c>
      <c r="B34" s="30" t="s">
        <v>109</v>
      </c>
      <c r="C34" s="0" t="n">
        <v>150</v>
      </c>
      <c r="D34" s="0" t="n">
        <v>12</v>
      </c>
      <c r="E34" s="0" t="n">
        <v>2</v>
      </c>
      <c r="F34" s="0" t="n">
        <v>1</v>
      </c>
      <c r="G34" s="0" t="s">
        <v>296</v>
      </c>
      <c r="H34" s="26" t="s">
        <v>104</v>
      </c>
      <c r="I34" s="0" t="n">
        <f aca="false">IF(AND(C34&lt;&gt;"",D34&lt;&gt;""),C34*(101-D34)/100,"")</f>
        <v>133.5</v>
      </c>
      <c r="J34" s="0" t="s">
        <v>501</v>
      </c>
    </row>
    <row r="35" customFormat="false" ht="15" hidden="false" customHeight="false" outlineLevel="0" collapsed="false">
      <c r="A35" s="0" t="s">
        <v>527</v>
      </c>
      <c r="B35" s="30" t="s">
        <v>109</v>
      </c>
      <c r="C35" s="0" t="n">
        <v>150</v>
      </c>
      <c r="D35" s="0" t="n">
        <v>5</v>
      </c>
      <c r="E35" s="0" t="n">
        <v>7</v>
      </c>
      <c r="F35" s="0" t="n">
        <v>3</v>
      </c>
      <c r="G35" s="0" t="s">
        <v>304</v>
      </c>
      <c r="H35" s="26" t="s">
        <v>104</v>
      </c>
      <c r="I35" s="0" t="n">
        <f aca="false">IF(AND(C35&lt;&gt;"",D35&lt;&gt;""),C35*(101-D35)/100,"")</f>
        <v>144</v>
      </c>
      <c r="J35" s="0" t="s">
        <v>486</v>
      </c>
    </row>
    <row r="36" customFormat="false" ht="15" hidden="false" customHeight="false" outlineLevel="0" collapsed="false">
      <c r="A36" s="0" t="s">
        <v>528</v>
      </c>
      <c r="B36" s="30" t="s">
        <v>109</v>
      </c>
      <c r="C36" s="0" t="n">
        <v>150</v>
      </c>
      <c r="D36" s="0" t="n">
        <v>8</v>
      </c>
      <c r="E36" s="0" t="n">
        <v>8</v>
      </c>
      <c r="F36" s="0" t="n">
        <v>3</v>
      </c>
      <c r="G36" s="0" t="s">
        <v>466</v>
      </c>
      <c r="H36" s="26" t="s">
        <v>104</v>
      </c>
      <c r="I36" s="0" t="n">
        <f aca="false">IF(AND(C36&lt;&gt;"",D36&lt;&gt;""),C36*(101-D36)/100,"")</f>
        <v>139.5</v>
      </c>
      <c r="J36" s="0" t="s">
        <v>501</v>
      </c>
    </row>
    <row r="37" customFormat="false" ht="15" hidden="false" customHeight="false" outlineLevel="0" collapsed="false">
      <c r="A37" s="0" t="s">
        <v>529</v>
      </c>
      <c r="B37" s="30" t="s">
        <v>109</v>
      </c>
      <c r="C37" s="0" t="n">
        <v>150</v>
      </c>
      <c r="D37" s="0" t="n">
        <v>4</v>
      </c>
      <c r="E37" s="0" t="n">
        <v>10</v>
      </c>
      <c r="F37" s="0" t="n">
        <v>3</v>
      </c>
      <c r="G37" s="0" t="s">
        <v>318</v>
      </c>
      <c r="H37" s="26" t="s">
        <v>104</v>
      </c>
      <c r="I37" s="0" t="n">
        <f aca="false">IF(AND(C37&lt;&gt;"",D37&lt;&gt;""),C37*(101-D37)/100,"")</f>
        <v>145.5</v>
      </c>
      <c r="J37" s="0" t="s">
        <v>513</v>
      </c>
    </row>
    <row r="38" customFormat="false" ht="15" hidden="false" customHeight="false" outlineLevel="0" collapsed="false">
      <c r="A38" s="0" t="s">
        <v>530</v>
      </c>
      <c r="B38" s="30" t="s">
        <v>109</v>
      </c>
      <c r="C38" s="0" t="n">
        <v>50</v>
      </c>
      <c r="D38" s="0" t="n">
        <v>2</v>
      </c>
      <c r="E38" s="0" t="n">
        <v>3</v>
      </c>
      <c r="F38" s="0" t="n">
        <v>1</v>
      </c>
      <c r="G38" s="0" t="s">
        <v>402</v>
      </c>
      <c r="H38" s="26" t="s">
        <v>104</v>
      </c>
      <c r="I38" s="0" t="n">
        <f aca="false">IF(AND(C38&lt;&gt;"",D38&lt;&gt;""),C38*(101-D38)/100,"")</f>
        <v>49.5</v>
      </c>
      <c r="J38" s="0" t="s">
        <v>513</v>
      </c>
    </row>
    <row r="39" customFormat="false" ht="15" hidden="false" customHeight="false" outlineLevel="0" collapsed="false">
      <c r="A39" s="0" t="s">
        <v>531</v>
      </c>
      <c r="B39" s="30" t="s">
        <v>109</v>
      </c>
      <c r="C39" s="0" t="n">
        <v>20</v>
      </c>
      <c r="D39" s="0" t="n">
        <v>0</v>
      </c>
      <c r="E39" s="0" t="n">
        <v>6</v>
      </c>
      <c r="F39" s="0" t="n">
        <v>1</v>
      </c>
      <c r="G39" s="0" t="s">
        <v>402</v>
      </c>
      <c r="H39" s="26" t="s">
        <v>104</v>
      </c>
      <c r="I39" s="0" t="n">
        <f aca="false">IF(AND(C39&lt;&gt;"",D39&lt;&gt;""),C39*(101-D39)/100,"")</f>
        <v>20.2</v>
      </c>
      <c r="J39" s="0" t="s">
        <v>513</v>
      </c>
    </row>
    <row r="40" customFormat="false" ht="15" hidden="false" customHeight="false" outlineLevel="0" collapsed="false">
      <c r="A40" s="0" t="s">
        <v>532</v>
      </c>
      <c r="B40" s="30" t="s">
        <v>109</v>
      </c>
      <c r="C40" s="0" t="n">
        <v>80</v>
      </c>
      <c r="D40" s="0" t="n">
        <v>2</v>
      </c>
      <c r="E40" s="0" t="n">
        <v>6</v>
      </c>
      <c r="F40" s="0" t="n">
        <v>3</v>
      </c>
      <c r="G40" s="0" t="s">
        <v>409</v>
      </c>
      <c r="H40" s="26" t="s">
        <v>104</v>
      </c>
      <c r="I40" s="0" t="n">
        <f aca="false">IF(AND(C40&lt;&gt;"",D40&lt;&gt;""),C40*(101-D40)/100,"")</f>
        <v>79.2</v>
      </c>
      <c r="J40" s="0" t="s">
        <v>533</v>
      </c>
    </row>
    <row r="41" customFormat="false" ht="15" hidden="false" customHeight="false" outlineLevel="0" collapsed="false">
      <c r="A41" s="0" t="s">
        <v>534</v>
      </c>
      <c r="B41" s="30" t="s">
        <v>109</v>
      </c>
      <c r="C41" s="0" t="n">
        <v>100</v>
      </c>
      <c r="D41" s="0" t="n">
        <v>0</v>
      </c>
      <c r="E41" s="0" t="n">
        <v>2</v>
      </c>
      <c r="F41" s="0" t="n">
        <v>1</v>
      </c>
      <c r="G41" s="0" t="s">
        <v>318</v>
      </c>
      <c r="H41" s="26" t="s">
        <v>104</v>
      </c>
      <c r="I41" s="0" t="n">
        <f aca="false">IF(AND(C41&lt;&gt;"",D41&lt;&gt;""),C41*(101-D41)/100,"")</f>
        <v>101</v>
      </c>
      <c r="J41" s="0" t="s">
        <v>535</v>
      </c>
    </row>
    <row r="42" customFormat="false" ht="15" hidden="false" customHeight="false" outlineLevel="0" collapsed="false">
      <c r="A42" s="0" t="s">
        <v>536</v>
      </c>
      <c r="B42" s="30" t="s">
        <v>109</v>
      </c>
      <c r="C42" s="0" t="n">
        <v>80</v>
      </c>
      <c r="F42" s="0" t="n">
        <v>3</v>
      </c>
      <c r="G42" s="0" t="s">
        <v>311</v>
      </c>
      <c r="H42" s="26" t="s">
        <v>104</v>
      </c>
    </row>
    <row r="43" customFormat="false" ht="15" hidden="false" customHeight="false" outlineLevel="0" collapsed="false">
      <c r="A43" s="0" t="s">
        <v>360</v>
      </c>
      <c r="B43" s="32" t="s">
        <v>102</v>
      </c>
      <c r="C43" s="0" t="n">
        <v>40</v>
      </c>
      <c r="D43" s="0" t="n">
        <v>0</v>
      </c>
      <c r="E43" s="0" t="n">
        <v>10</v>
      </c>
      <c r="F43" s="0" t="n">
        <v>3</v>
      </c>
      <c r="G43" s="0" t="s">
        <v>355</v>
      </c>
      <c r="H43" s="26" t="s">
        <v>104</v>
      </c>
      <c r="I43" s="0" t="n">
        <f aca="false">IF(AND(C43&lt;&gt;"",D43&lt;&gt;""),C43*(101-D43)/100,"")</f>
        <v>40.4</v>
      </c>
      <c r="J43" s="0" t="s">
        <v>509</v>
      </c>
    </row>
    <row r="44" customFormat="false" ht="15" hidden="false" customHeight="false" outlineLevel="0" collapsed="false">
      <c r="A44" s="0" t="s">
        <v>537</v>
      </c>
      <c r="B44" s="30" t="s">
        <v>109</v>
      </c>
      <c r="C44" s="0" t="n">
        <v>150</v>
      </c>
      <c r="D44" s="0" t="n">
        <v>36</v>
      </c>
      <c r="E44" s="0" t="n">
        <v>11</v>
      </c>
      <c r="F44" s="0" t="n">
        <v>5</v>
      </c>
      <c r="G44" s="0" t="s">
        <v>200</v>
      </c>
      <c r="H44" s="26" t="s">
        <v>104</v>
      </c>
      <c r="I44" s="0" t="n">
        <f aca="false">IF(AND(C44&lt;&gt;"",D44&lt;&gt;""),C44*(101-D44)/100,"")</f>
        <v>97.5</v>
      </c>
      <c r="J44" s="0" t="s">
        <v>489</v>
      </c>
    </row>
    <row r="45" customFormat="false" ht="15" hidden="false" customHeight="false" outlineLevel="0" collapsed="false">
      <c r="A45" s="0" t="s">
        <v>538</v>
      </c>
      <c r="B45" s="30" t="s">
        <v>109</v>
      </c>
      <c r="C45" s="0" t="n">
        <v>90</v>
      </c>
      <c r="D45" s="0" t="n">
        <v>2</v>
      </c>
      <c r="E45" s="0" t="n">
        <v>10</v>
      </c>
      <c r="F45" s="0" t="n">
        <v>3</v>
      </c>
      <c r="G45" s="0" t="s">
        <v>223</v>
      </c>
      <c r="H45" s="26" t="s">
        <v>104</v>
      </c>
      <c r="I45" s="0" t="n">
        <f aca="false">IF(AND(C45&lt;&gt;"",D45&lt;&gt;""),C45*(101-D45)/100,"")</f>
        <v>89.1</v>
      </c>
      <c r="J45" s="0" t="s">
        <v>509</v>
      </c>
    </row>
    <row r="46" customFormat="false" ht="15" hidden="false" customHeight="false" outlineLevel="0" collapsed="false">
      <c r="A46" s="0" t="s">
        <v>539</v>
      </c>
      <c r="B46" s="31" t="s">
        <v>123</v>
      </c>
      <c r="C46" s="0" t="n">
        <v>40</v>
      </c>
      <c r="D46" s="0" t="n">
        <v>4</v>
      </c>
      <c r="E46" s="0" t="n">
        <v>5</v>
      </c>
      <c r="F46" s="0" t="n">
        <v>1</v>
      </c>
      <c r="G46" s="0" t="s">
        <v>371</v>
      </c>
      <c r="H46" s="26" t="s">
        <v>104</v>
      </c>
      <c r="I46" s="0" t="n">
        <f aca="false">IF(AND(C46&lt;&gt;"",D46&lt;&gt;""),C46*(101-D46)/100,"")</f>
        <v>38.8</v>
      </c>
      <c r="J46" s="0" t="s">
        <v>540</v>
      </c>
    </row>
    <row r="47" customFormat="false" ht="15" hidden="false" customHeight="false" outlineLevel="0" collapsed="false">
      <c r="A47" s="0" t="s">
        <v>541</v>
      </c>
      <c r="B47" s="32" t="s">
        <v>102</v>
      </c>
      <c r="C47" s="0" t="n">
        <v>700</v>
      </c>
      <c r="D47" s="0" t="n">
        <v>69</v>
      </c>
      <c r="E47" s="0" t="n">
        <v>11</v>
      </c>
      <c r="F47" s="0" t="n">
        <v>5</v>
      </c>
      <c r="G47" s="0" t="s">
        <v>364</v>
      </c>
      <c r="H47" s="26" t="s">
        <v>104</v>
      </c>
      <c r="I47" s="0" t="n">
        <f aca="false">IF(AND(C47&lt;&gt;"",D47&lt;&gt;""),C47*(101-D47)/100,"")</f>
        <v>224</v>
      </c>
      <c r="J47" s="0" t="s">
        <v>542</v>
      </c>
    </row>
    <row r="48" customFormat="false" ht="15" hidden="false" customHeight="false" outlineLevel="0" collapsed="false">
      <c r="A48" s="0" t="s">
        <v>543</v>
      </c>
      <c r="B48" s="30" t="s">
        <v>109</v>
      </c>
      <c r="C48" s="0" t="n">
        <v>30</v>
      </c>
      <c r="D48" s="0" t="n">
        <v>8</v>
      </c>
      <c r="E48" s="0" t="n">
        <v>4</v>
      </c>
      <c r="F48" s="0" t="n">
        <v>1</v>
      </c>
      <c r="G48" s="0" t="s">
        <v>437</v>
      </c>
      <c r="H48" s="26" t="s">
        <v>104</v>
      </c>
      <c r="I48" s="0" t="n">
        <f aca="false">IF(AND(C48&lt;&gt;"",D48&lt;&gt;""),C48*(101-D48)/100,"")</f>
        <v>27.9</v>
      </c>
      <c r="J48" s="0" t="s">
        <v>501</v>
      </c>
    </row>
    <row r="49" customFormat="false" ht="15" hidden="false" customHeight="false" outlineLevel="0" collapsed="false">
      <c r="A49" s="0" t="s">
        <v>544</v>
      </c>
      <c r="B49" s="30" t="s">
        <v>109</v>
      </c>
      <c r="C49" s="0" t="n">
        <v>150</v>
      </c>
      <c r="D49" s="0" t="n">
        <v>0</v>
      </c>
      <c r="E49" s="0" t="n">
        <v>7</v>
      </c>
      <c r="F49" s="0" t="n">
        <v>3</v>
      </c>
      <c r="G49" s="0" t="s">
        <v>244</v>
      </c>
      <c r="H49" s="26" t="s">
        <v>104</v>
      </c>
      <c r="I49" s="0" t="n">
        <f aca="false">IF(AND(C49&lt;&gt;"",D49&lt;&gt;""),C49*(101-D49)/100,"")</f>
        <v>151.5</v>
      </c>
      <c r="J49" s="0" t="s">
        <v>545</v>
      </c>
    </row>
    <row r="50" customFormat="false" ht="15" hidden="false" customHeight="false" outlineLevel="0" collapsed="false">
      <c r="A50" s="0" t="s">
        <v>255</v>
      </c>
      <c r="B50" s="30" t="s">
        <v>109</v>
      </c>
      <c r="F50" s="0" t="n">
        <v>3</v>
      </c>
      <c r="G50" s="0" t="s">
        <v>251</v>
      </c>
      <c r="H50" s="26" t="s">
        <v>104</v>
      </c>
    </row>
    <row r="51" customFormat="false" ht="15" hidden="false" customHeight="false" outlineLevel="0" collapsed="false">
      <c r="H51" s="26"/>
    </row>
    <row r="52" customFormat="false" ht="15" hidden="false" customHeight="false" outlineLevel="0" collapsed="false">
      <c r="H52" s="26"/>
    </row>
    <row r="53" customFormat="false" ht="15" hidden="false" customHeight="false" outlineLevel="0" collapsed="false">
      <c r="H53" s="26"/>
    </row>
    <row r="54" customFormat="false" ht="15" hidden="false" customHeight="false" outlineLevel="0" collapsed="false">
      <c r="H54" s="26"/>
    </row>
    <row r="55" customFormat="false" ht="15" hidden="false" customHeight="false" outlineLevel="0" collapsed="false">
      <c r="H55" s="26"/>
    </row>
    <row r="56" customFormat="false" ht="15" hidden="false" customHeight="false" outlineLevel="0" collapsed="false">
      <c r="H56" s="26"/>
    </row>
    <row r="57" customFormat="false" ht="15" hidden="false" customHeight="false" outlineLevel="0" collapsed="false">
      <c r="H57" s="26"/>
    </row>
    <row r="58" customFormat="false" ht="15" hidden="false" customHeight="false" outlineLevel="0" collapsed="false">
      <c r="H58" s="26"/>
    </row>
    <row r="59" customFormat="false" ht="15" hidden="false" customHeight="false" outlineLevel="0" collapsed="false">
      <c r="H59" s="26"/>
    </row>
    <row r="60" customFormat="false" ht="15" hidden="false" customHeight="false" outlineLevel="0" collapsed="false">
      <c r="H60" s="26"/>
    </row>
    <row r="61" customFormat="false" ht="15" hidden="false" customHeight="false" outlineLevel="0" collapsed="false">
      <c r="H61" s="26"/>
    </row>
    <row r="62" customFormat="false" ht="15" hidden="false" customHeight="false" outlineLevel="0" collapsed="false">
      <c r="H62" s="26"/>
    </row>
    <row r="63" customFormat="false" ht="15" hidden="false" customHeight="false" outlineLevel="0" collapsed="false">
      <c r="H63" s="26"/>
    </row>
    <row r="64" customFormat="false" ht="15" hidden="false" customHeight="false" outlineLevel="0" collapsed="false">
      <c r="H64" s="26"/>
    </row>
    <row r="65" customFormat="false" ht="15" hidden="false" customHeight="false" outlineLevel="0" collapsed="false">
      <c r="H65" s="26"/>
    </row>
    <row r="66" customFormat="false" ht="15" hidden="false" customHeight="false" outlineLevel="0" collapsed="false">
      <c r="H66" s="26"/>
    </row>
    <row r="67" customFormat="false" ht="15" hidden="false" customHeight="false" outlineLevel="0" collapsed="false">
      <c r="H67" s="26"/>
    </row>
    <row r="68" customFormat="false" ht="15" hidden="false" customHeight="false" outlineLevel="0" collapsed="false">
      <c r="H68" s="26"/>
    </row>
    <row r="69" customFormat="false" ht="15" hidden="false" customHeight="false" outlineLevel="0" collapsed="false">
      <c r="H69" s="26"/>
    </row>
    <row r="70" customFormat="false" ht="15" hidden="false" customHeight="false" outlineLevel="0" collapsed="false">
      <c r="H70" s="26"/>
    </row>
    <row r="71" customFormat="false" ht="15" hidden="false" customHeight="false" outlineLevel="0" collapsed="false">
      <c r="H71" s="26"/>
    </row>
    <row r="72" customFormat="false" ht="15" hidden="false" customHeight="false" outlineLevel="0" collapsed="false">
      <c r="H72" s="26"/>
    </row>
    <row r="73" customFormat="false" ht="15" hidden="false" customHeight="false" outlineLevel="0" collapsed="false">
      <c r="H73" s="26"/>
    </row>
    <row r="74" customFormat="false" ht="15" hidden="false" customHeight="false" outlineLevel="0" collapsed="false">
      <c r="H74" s="26"/>
    </row>
    <row r="75" customFormat="false" ht="15" hidden="false" customHeight="false" outlineLevel="0" collapsed="false">
      <c r="H75" s="26"/>
    </row>
    <row r="76" customFormat="false" ht="15" hidden="false" customHeight="false" outlineLevel="0" collapsed="false">
      <c r="H76" s="26"/>
    </row>
    <row r="77" customFormat="false" ht="15" hidden="false" customHeight="false" outlineLevel="0" collapsed="false">
      <c r="H77" s="26"/>
    </row>
    <row r="78" customFormat="false" ht="15" hidden="false" customHeight="false" outlineLevel="0" collapsed="false">
      <c r="H78" s="26"/>
    </row>
    <row r="79" customFormat="false" ht="15" hidden="false" customHeight="false" outlineLevel="0" collapsed="false">
      <c r="H79" s="26"/>
    </row>
    <row r="80" customFormat="false" ht="15" hidden="false" customHeight="false" outlineLevel="0" collapsed="false">
      <c r="H80" s="26"/>
    </row>
    <row r="81" customFormat="false" ht="15" hidden="false" customHeight="false" outlineLevel="0" collapsed="false">
      <c r="H81" s="26"/>
    </row>
    <row r="82" customFormat="false" ht="15" hidden="false" customHeight="false" outlineLevel="0" collapsed="false">
      <c r="H82" s="26"/>
    </row>
    <row r="83" customFormat="false" ht="15" hidden="false" customHeight="false" outlineLevel="0" collapsed="false">
      <c r="H83" s="26"/>
    </row>
    <row r="84" customFormat="false" ht="15" hidden="false" customHeight="false" outlineLevel="0" collapsed="false">
      <c r="H84" s="26"/>
    </row>
    <row r="85" customFormat="false" ht="15" hidden="false" customHeight="false" outlineLevel="0" collapsed="false">
      <c r="H85" s="26"/>
    </row>
    <row r="86" customFormat="false" ht="15" hidden="false" customHeight="false" outlineLevel="0" collapsed="false">
      <c r="H86" s="26"/>
    </row>
    <row r="87" customFormat="false" ht="15" hidden="false" customHeight="false" outlineLevel="0" collapsed="false">
      <c r="H87" s="26"/>
    </row>
    <row r="88" customFormat="false" ht="15" hidden="false" customHeight="false" outlineLevel="0" collapsed="false">
      <c r="H88" s="26"/>
    </row>
    <row r="89" customFormat="false" ht="15" hidden="false" customHeight="false" outlineLevel="0" collapsed="false">
      <c r="H89" s="26"/>
    </row>
    <row r="90" customFormat="false" ht="15" hidden="false" customHeight="false" outlineLevel="0" collapsed="false">
      <c r="H90" s="26"/>
    </row>
    <row r="91" customFormat="false" ht="15" hidden="false" customHeight="false" outlineLevel="0" collapsed="false">
      <c r="H91" s="26"/>
    </row>
    <row r="92" customFormat="false" ht="15" hidden="false" customHeight="false" outlineLevel="0" collapsed="false">
      <c r="H92" s="26"/>
    </row>
    <row r="93" customFormat="false" ht="15" hidden="false" customHeight="false" outlineLevel="0" collapsed="false">
      <c r="H93" s="26"/>
    </row>
    <row r="94" customFormat="false" ht="15" hidden="false" customHeight="false" outlineLevel="0" collapsed="false">
      <c r="H94" s="26"/>
    </row>
    <row r="95" customFormat="false" ht="15" hidden="false" customHeight="false" outlineLevel="0" collapsed="false">
      <c r="H95" s="26"/>
    </row>
    <row r="96" customFormat="false" ht="15" hidden="false" customHeight="false" outlineLevel="0" collapsed="false">
      <c r="H96" s="26"/>
    </row>
    <row r="97" customFormat="false" ht="15" hidden="false" customHeight="false" outlineLevel="0" collapsed="false">
      <c r="H97" s="26"/>
    </row>
    <row r="98" customFormat="false" ht="15" hidden="false" customHeight="false" outlineLevel="0" collapsed="false">
      <c r="H98" s="26"/>
    </row>
    <row r="99" customFormat="false" ht="15" hidden="false" customHeight="false" outlineLevel="0" collapsed="false">
      <c r="H99" s="26"/>
    </row>
    <row r="100" customFormat="false" ht="15" hidden="false" customHeight="false" outlineLevel="0" collapsed="false">
      <c r="H100" s="26"/>
    </row>
    <row r="101" customFormat="false" ht="15" hidden="false" customHeight="false" outlineLevel="0" collapsed="false">
      <c r="H101" s="26"/>
    </row>
    <row r="102" customFormat="false" ht="15" hidden="false" customHeight="false" outlineLevel="0" collapsed="false">
      <c r="H102" s="26"/>
    </row>
    <row r="103" customFormat="false" ht="15" hidden="false" customHeight="false" outlineLevel="0" collapsed="false">
      <c r="H103" s="26"/>
    </row>
    <row r="104" customFormat="false" ht="15" hidden="false" customHeight="false" outlineLevel="0" collapsed="false">
      <c r="H104" s="26"/>
    </row>
    <row r="105" customFormat="false" ht="15" hidden="false" customHeight="false" outlineLevel="0" collapsed="false">
      <c r="H105" s="26"/>
    </row>
    <row r="106" customFormat="false" ht="15" hidden="false" customHeight="false" outlineLevel="0" collapsed="false">
      <c r="H106" s="26"/>
    </row>
    <row r="107" customFormat="false" ht="15" hidden="false" customHeight="false" outlineLevel="0" collapsed="false">
      <c r="H107" s="26"/>
    </row>
    <row r="108" customFormat="false" ht="15" hidden="false" customHeight="false" outlineLevel="0" collapsed="false">
      <c r="H108" s="26"/>
    </row>
    <row r="109" customFormat="false" ht="15" hidden="false" customHeight="false" outlineLevel="0" collapsed="false">
      <c r="H109" s="26"/>
    </row>
    <row r="110" customFormat="false" ht="15" hidden="false" customHeight="false" outlineLevel="0" collapsed="false">
      <c r="H110" s="26"/>
    </row>
    <row r="111" customFormat="false" ht="15" hidden="false" customHeight="false" outlineLevel="0" collapsed="false">
      <c r="H111" s="26"/>
    </row>
    <row r="112" customFormat="false" ht="15" hidden="false" customHeight="false" outlineLevel="0" collapsed="false">
      <c r="H112" s="26"/>
    </row>
    <row r="113" customFormat="false" ht="15" hidden="false" customHeight="false" outlineLevel="0" collapsed="false">
      <c r="H113" s="26"/>
    </row>
    <row r="114" customFormat="false" ht="15" hidden="false" customHeight="false" outlineLevel="0" collapsed="false">
      <c r="H114" s="26"/>
    </row>
    <row r="115" customFormat="false" ht="15" hidden="false" customHeight="false" outlineLevel="0" collapsed="false">
      <c r="H115" s="26"/>
    </row>
    <row r="116" customFormat="false" ht="15" hidden="false" customHeight="false" outlineLevel="0" collapsed="false">
      <c r="H116" s="26"/>
    </row>
    <row r="117" customFormat="false" ht="15" hidden="false" customHeight="false" outlineLevel="0" collapsed="false">
      <c r="H117" s="26"/>
    </row>
    <row r="118" customFormat="false" ht="15" hidden="false" customHeight="false" outlineLevel="0" collapsed="false">
      <c r="H118" s="26"/>
    </row>
    <row r="119" customFormat="false" ht="15" hidden="false" customHeight="false" outlineLevel="0" collapsed="false">
      <c r="H119" s="26"/>
    </row>
    <row r="120" customFormat="false" ht="15" hidden="false" customHeight="false" outlineLevel="0" collapsed="false">
      <c r="H120" s="26"/>
    </row>
    <row r="121" customFormat="false" ht="15" hidden="false" customHeight="false" outlineLevel="0" collapsed="false">
      <c r="H121" s="26"/>
    </row>
    <row r="122" customFormat="false" ht="15" hidden="false" customHeight="false" outlineLevel="0" collapsed="false">
      <c r="H122" s="26"/>
    </row>
    <row r="123" customFormat="false" ht="15" hidden="false" customHeight="false" outlineLevel="0" collapsed="false">
      <c r="H123" s="26"/>
    </row>
    <row r="124" customFormat="false" ht="15" hidden="false" customHeight="false" outlineLevel="0" collapsed="false">
      <c r="H124" s="26"/>
    </row>
    <row r="125" customFormat="false" ht="15" hidden="false" customHeight="false" outlineLevel="0" collapsed="false">
      <c r="H125" s="26"/>
    </row>
    <row r="126" customFormat="false" ht="15" hidden="false" customHeight="false" outlineLevel="0" collapsed="false">
      <c r="H126" s="26"/>
    </row>
    <row r="127" customFormat="false" ht="15" hidden="false" customHeight="false" outlineLevel="0" collapsed="false">
      <c r="H127" s="26"/>
    </row>
    <row r="128" customFormat="false" ht="15" hidden="false" customHeight="false" outlineLevel="0" collapsed="false">
      <c r="H128" s="26"/>
    </row>
    <row r="129" customFormat="false" ht="15" hidden="false" customHeight="false" outlineLevel="0" collapsed="false">
      <c r="H129" s="26"/>
    </row>
    <row r="130" customFormat="false" ht="15" hidden="false" customHeight="false" outlineLevel="0" collapsed="false">
      <c r="H130" s="26"/>
    </row>
    <row r="131" customFormat="false" ht="15" hidden="false" customHeight="false" outlineLevel="0" collapsed="false">
      <c r="H131" s="26"/>
    </row>
    <row r="132" customFormat="false" ht="15" hidden="false" customHeight="false" outlineLevel="0" collapsed="false">
      <c r="H132" s="26"/>
    </row>
    <row r="133" customFormat="false" ht="15" hidden="false" customHeight="false" outlineLevel="0" collapsed="false">
      <c r="H133" s="26"/>
    </row>
    <row r="134" customFormat="false" ht="15" hidden="false" customHeight="false" outlineLevel="0" collapsed="false">
      <c r="H134" s="26"/>
    </row>
    <row r="135" customFormat="false" ht="15" hidden="false" customHeight="false" outlineLevel="0" collapsed="false">
      <c r="H135" s="26"/>
    </row>
    <row r="136" customFormat="false" ht="15" hidden="false" customHeight="false" outlineLevel="0" collapsed="false">
      <c r="H136" s="26"/>
    </row>
    <row r="137" customFormat="false" ht="15" hidden="false" customHeight="false" outlineLevel="0" collapsed="false">
      <c r="H137" s="26"/>
    </row>
    <row r="138" customFormat="false" ht="15" hidden="false" customHeight="false" outlineLevel="0" collapsed="false">
      <c r="H138" s="26"/>
    </row>
    <row r="139" customFormat="false" ht="15" hidden="false" customHeight="false" outlineLevel="0" collapsed="false">
      <c r="H139" s="26"/>
    </row>
    <row r="140" customFormat="false" ht="15" hidden="false" customHeight="false" outlineLevel="0" collapsed="false">
      <c r="H140" s="26"/>
    </row>
    <row r="141" customFormat="false" ht="15" hidden="false" customHeight="false" outlineLevel="0" collapsed="false">
      <c r="H141" s="26"/>
    </row>
    <row r="142" customFormat="false" ht="15" hidden="false" customHeight="false" outlineLevel="0" collapsed="false">
      <c r="H142" s="26"/>
    </row>
    <row r="143" customFormat="false" ht="15" hidden="false" customHeight="false" outlineLevel="0" collapsed="false">
      <c r="H143" s="26"/>
    </row>
    <row r="144" customFormat="false" ht="15" hidden="false" customHeight="false" outlineLevel="0" collapsed="false">
      <c r="H144" s="26"/>
    </row>
    <row r="145" customFormat="false" ht="15" hidden="false" customHeight="false" outlineLevel="0" collapsed="false">
      <c r="H145" s="26"/>
    </row>
    <row r="146" customFormat="false" ht="15" hidden="false" customHeight="false" outlineLevel="0" collapsed="false">
      <c r="H146" s="26"/>
    </row>
    <row r="147" customFormat="false" ht="15" hidden="false" customHeight="false" outlineLevel="0" collapsed="false">
      <c r="H147" s="26"/>
    </row>
    <row r="148" customFormat="false" ht="15" hidden="false" customHeight="false" outlineLevel="0" collapsed="false">
      <c r="H148" s="26"/>
    </row>
    <row r="149" customFormat="false" ht="15" hidden="false" customHeight="false" outlineLevel="0" collapsed="false">
      <c r="H149" s="26"/>
    </row>
    <row r="150" customFormat="false" ht="15" hidden="false" customHeight="false" outlineLevel="0" collapsed="false">
      <c r="H150" s="26"/>
    </row>
    <row r="151" customFormat="false" ht="15" hidden="false" customHeight="false" outlineLevel="0" collapsed="false">
      <c r="H151" s="26"/>
    </row>
    <row r="152" customFormat="false" ht="15" hidden="false" customHeight="false" outlineLevel="0" collapsed="false">
      <c r="H152" s="26"/>
    </row>
    <row r="153" customFormat="false" ht="15" hidden="false" customHeight="false" outlineLevel="0" collapsed="false">
      <c r="H153" s="26"/>
    </row>
    <row r="154" customFormat="false" ht="15" hidden="false" customHeight="false" outlineLevel="0" collapsed="false">
      <c r="H154" s="26"/>
    </row>
    <row r="155" customFormat="false" ht="15" hidden="false" customHeight="false" outlineLevel="0" collapsed="false">
      <c r="H155" s="26"/>
    </row>
    <row r="156" customFormat="false" ht="15" hidden="false" customHeight="false" outlineLevel="0" collapsed="false">
      <c r="H156" s="26"/>
    </row>
    <row r="157" customFormat="false" ht="15" hidden="false" customHeight="false" outlineLevel="0" collapsed="false">
      <c r="H157" s="26"/>
    </row>
    <row r="158" customFormat="false" ht="15" hidden="false" customHeight="false" outlineLevel="0" collapsed="false">
      <c r="H158" s="26"/>
    </row>
    <row r="159" customFormat="false" ht="15" hidden="false" customHeight="false" outlineLevel="0" collapsed="false">
      <c r="H159" s="26"/>
    </row>
    <row r="160" customFormat="false" ht="15" hidden="false" customHeight="false" outlineLevel="0" collapsed="false">
      <c r="H160" s="26"/>
    </row>
    <row r="161" customFormat="false" ht="15" hidden="false" customHeight="false" outlineLevel="0" collapsed="false">
      <c r="H161" s="26"/>
    </row>
    <row r="162" customFormat="false" ht="15" hidden="false" customHeight="false" outlineLevel="0" collapsed="false">
      <c r="H162" s="26"/>
    </row>
    <row r="163" customFormat="false" ht="15" hidden="false" customHeight="false" outlineLevel="0" collapsed="false">
      <c r="H163" s="26"/>
    </row>
    <row r="164" customFormat="false" ht="15" hidden="false" customHeight="false" outlineLevel="0" collapsed="false">
      <c r="H164" s="26"/>
    </row>
    <row r="165" customFormat="false" ht="15" hidden="false" customHeight="false" outlineLevel="0" collapsed="false">
      <c r="H165" s="26"/>
    </row>
    <row r="166" customFormat="false" ht="15" hidden="false" customHeight="false" outlineLevel="0" collapsed="false">
      <c r="H166" s="26"/>
    </row>
    <row r="167" customFormat="false" ht="15" hidden="false" customHeight="false" outlineLevel="0" collapsed="false">
      <c r="H167" s="26"/>
    </row>
    <row r="168" customFormat="false" ht="15" hidden="false" customHeight="false" outlineLevel="0" collapsed="false">
      <c r="H168" s="26"/>
    </row>
    <row r="169" customFormat="false" ht="15" hidden="false" customHeight="false" outlineLevel="0" collapsed="false">
      <c r="H169" s="26"/>
    </row>
    <row r="170" customFormat="false" ht="15" hidden="false" customHeight="false" outlineLevel="0" collapsed="false">
      <c r="H170" s="26"/>
    </row>
    <row r="171" customFormat="false" ht="15" hidden="false" customHeight="false" outlineLevel="0" collapsed="false">
      <c r="H171" s="26"/>
    </row>
    <row r="172" customFormat="false" ht="15" hidden="false" customHeight="false" outlineLevel="0" collapsed="false">
      <c r="H172" s="26"/>
    </row>
    <row r="173" customFormat="false" ht="15" hidden="false" customHeight="false" outlineLevel="0" collapsed="false">
      <c r="H173" s="26"/>
    </row>
    <row r="174" customFormat="false" ht="15" hidden="false" customHeight="false" outlineLevel="0" collapsed="false">
      <c r="H174" s="26"/>
    </row>
    <row r="175" customFormat="false" ht="15" hidden="false" customHeight="false" outlineLevel="0" collapsed="false">
      <c r="H175" s="26"/>
    </row>
    <row r="176" customFormat="false" ht="15" hidden="false" customHeight="false" outlineLevel="0" collapsed="false">
      <c r="H176" s="26"/>
    </row>
    <row r="177" customFormat="false" ht="15" hidden="false" customHeight="false" outlineLevel="0" collapsed="false">
      <c r="H177" s="26"/>
    </row>
    <row r="178" customFormat="false" ht="15" hidden="false" customHeight="false" outlineLevel="0" collapsed="false">
      <c r="H178" s="26"/>
    </row>
    <row r="179" customFormat="false" ht="15" hidden="false" customHeight="false" outlineLevel="0" collapsed="false">
      <c r="H179" s="26"/>
    </row>
    <row r="180" customFormat="false" ht="15" hidden="false" customHeight="false" outlineLevel="0" collapsed="false">
      <c r="H180" s="26"/>
    </row>
    <row r="181" customFormat="false" ht="15" hidden="false" customHeight="false" outlineLevel="0" collapsed="false">
      <c r="H181" s="26"/>
    </row>
    <row r="182" customFormat="false" ht="15" hidden="false" customHeight="false" outlineLevel="0" collapsed="false">
      <c r="H182" s="26"/>
    </row>
    <row r="183" customFormat="false" ht="15" hidden="false" customHeight="false" outlineLevel="0" collapsed="false">
      <c r="H183" s="26"/>
    </row>
    <row r="184" customFormat="false" ht="15" hidden="false" customHeight="false" outlineLevel="0" collapsed="false">
      <c r="H184" s="26"/>
    </row>
    <row r="185" customFormat="false" ht="15" hidden="false" customHeight="false" outlineLevel="0" collapsed="false">
      <c r="H185" s="26"/>
    </row>
    <row r="186" customFormat="false" ht="15" hidden="false" customHeight="false" outlineLevel="0" collapsed="false">
      <c r="H186" s="26"/>
    </row>
    <row r="187" customFormat="false" ht="15" hidden="false" customHeight="false" outlineLevel="0" collapsed="false">
      <c r="H187" s="26"/>
    </row>
    <row r="188" customFormat="false" ht="15" hidden="false" customHeight="false" outlineLevel="0" collapsed="false">
      <c r="H188" s="26"/>
    </row>
    <row r="189" customFormat="false" ht="15" hidden="false" customHeight="false" outlineLevel="0" collapsed="false">
      <c r="H189" s="26"/>
    </row>
    <row r="190" customFormat="false" ht="15" hidden="false" customHeight="false" outlineLevel="0" collapsed="false">
      <c r="H190" s="26"/>
    </row>
    <row r="191" customFormat="false" ht="15" hidden="false" customHeight="false" outlineLevel="0" collapsed="false">
      <c r="H191" s="26"/>
    </row>
    <row r="192" customFormat="false" ht="15" hidden="false" customHeight="false" outlineLevel="0" collapsed="false">
      <c r="H192" s="26"/>
    </row>
    <row r="193" customFormat="false" ht="15" hidden="false" customHeight="false" outlineLevel="0" collapsed="false">
      <c r="H193" s="26"/>
    </row>
    <row r="194" customFormat="false" ht="15" hidden="false" customHeight="false" outlineLevel="0" collapsed="false">
      <c r="H194" s="26"/>
    </row>
    <row r="195" customFormat="false" ht="15" hidden="false" customHeight="false" outlineLevel="0" collapsed="false">
      <c r="H195" s="26"/>
    </row>
    <row r="196" customFormat="false" ht="15" hidden="false" customHeight="false" outlineLevel="0" collapsed="false">
      <c r="H196" s="26"/>
    </row>
    <row r="197" customFormat="false" ht="15" hidden="false" customHeight="false" outlineLevel="0" collapsed="false">
      <c r="H197" s="26"/>
    </row>
    <row r="198" customFormat="false" ht="15" hidden="false" customHeight="false" outlineLevel="0" collapsed="false">
      <c r="H198" s="26"/>
    </row>
    <row r="199" customFormat="false" ht="15" hidden="false" customHeight="false" outlineLevel="0" collapsed="false">
      <c r="H199" s="26"/>
    </row>
    <row r="200" customFormat="false" ht="15" hidden="false" customHeight="false" outlineLevel="0" collapsed="false">
      <c r="H200" s="26"/>
    </row>
    <row r="201" customFormat="false" ht="15" hidden="false" customHeight="false" outlineLevel="0" collapsed="false">
      <c r="H201" s="26"/>
    </row>
    <row r="202" customFormat="false" ht="15" hidden="false" customHeight="false" outlineLevel="0" collapsed="false">
      <c r="H202" s="26"/>
    </row>
    <row r="203" customFormat="false" ht="15" hidden="false" customHeight="false" outlineLevel="0" collapsed="false">
      <c r="H203" s="26"/>
    </row>
    <row r="204" customFormat="false" ht="15" hidden="false" customHeight="false" outlineLevel="0" collapsed="false">
      <c r="H204" s="26"/>
    </row>
    <row r="205" customFormat="false" ht="15" hidden="false" customHeight="false" outlineLevel="0" collapsed="false">
      <c r="H205" s="26"/>
    </row>
    <row r="206" customFormat="false" ht="15" hidden="false" customHeight="false" outlineLevel="0" collapsed="false">
      <c r="H206" s="26"/>
    </row>
    <row r="207" customFormat="false" ht="15" hidden="false" customHeight="false" outlineLevel="0" collapsed="false">
      <c r="H207" s="26"/>
    </row>
    <row r="208" customFormat="false" ht="15" hidden="false" customHeight="false" outlineLevel="0" collapsed="false">
      <c r="H208" s="26"/>
    </row>
    <row r="209" customFormat="false" ht="15" hidden="false" customHeight="false" outlineLevel="0" collapsed="false">
      <c r="H209" s="26"/>
    </row>
    <row r="210" customFormat="false" ht="15" hidden="false" customHeight="false" outlineLevel="0" collapsed="false">
      <c r="H210" s="26"/>
    </row>
    <row r="211" customFormat="false" ht="15" hidden="false" customHeight="false" outlineLevel="0" collapsed="false">
      <c r="H211" s="26"/>
    </row>
    <row r="212" customFormat="false" ht="15" hidden="false" customHeight="false" outlineLevel="0" collapsed="false">
      <c r="H212" s="26"/>
    </row>
    <row r="213" customFormat="false" ht="15" hidden="false" customHeight="false" outlineLevel="0" collapsed="false">
      <c r="H213" s="26"/>
    </row>
    <row r="214" customFormat="false" ht="15" hidden="false" customHeight="false" outlineLevel="0" collapsed="false">
      <c r="H214" s="26"/>
    </row>
    <row r="215" customFormat="false" ht="15" hidden="false" customHeight="false" outlineLevel="0" collapsed="false">
      <c r="H215" s="26"/>
    </row>
    <row r="216" customFormat="false" ht="15" hidden="false" customHeight="false" outlineLevel="0" collapsed="false">
      <c r="H216" s="26"/>
    </row>
    <row r="217" customFormat="false" ht="15" hidden="false" customHeight="false" outlineLevel="0" collapsed="false">
      <c r="H217" s="26"/>
    </row>
    <row r="218" customFormat="false" ht="15" hidden="false" customHeight="false" outlineLevel="0" collapsed="false">
      <c r="H218" s="26"/>
    </row>
    <row r="219" customFormat="false" ht="15" hidden="false" customHeight="false" outlineLevel="0" collapsed="false">
      <c r="H219" s="26"/>
    </row>
    <row r="220" customFormat="false" ht="15" hidden="false" customHeight="false" outlineLevel="0" collapsed="false">
      <c r="H220" s="26"/>
    </row>
    <row r="221" customFormat="false" ht="15" hidden="false" customHeight="false" outlineLevel="0" collapsed="false">
      <c r="H221" s="26"/>
    </row>
    <row r="222" customFormat="false" ht="15" hidden="false" customHeight="false" outlineLevel="0" collapsed="false">
      <c r="H222" s="26"/>
    </row>
    <row r="223" customFormat="false" ht="15" hidden="false" customHeight="false" outlineLevel="0" collapsed="false">
      <c r="H223" s="26"/>
    </row>
    <row r="224" customFormat="false" ht="15" hidden="false" customHeight="false" outlineLevel="0" collapsed="false">
      <c r="H224" s="26"/>
    </row>
    <row r="225" customFormat="false" ht="15" hidden="false" customHeight="false" outlineLevel="0" collapsed="false">
      <c r="H225" s="26"/>
    </row>
    <row r="226" customFormat="false" ht="15" hidden="false" customHeight="false" outlineLevel="0" collapsed="false">
      <c r="H226" s="26"/>
    </row>
    <row r="227" customFormat="false" ht="15" hidden="false" customHeight="false" outlineLevel="0" collapsed="false">
      <c r="H227" s="26"/>
    </row>
    <row r="228" customFormat="false" ht="15" hidden="false" customHeight="false" outlineLevel="0" collapsed="false">
      <c r="H228" s="26"/>
    </row>
    <row r="229" customFormat="false" ht="15" hidden="false" customHeight="false" outlineLevel="0" collapsed="false">
      <c r="H229" s="26"/>
    </row>
    <row r="230" customFormat="false" ht="15" hidden="false" customHeight="false" outlineLevel="0" collapsed="false">
      <c r="H230" s="26"/>
    </row>
    <row r="231" customFormat="false" ht="15" hidden="false" customHeight="false" outlineLevel="0" collapsed="false">
      <c r="H231" s="26"/>
    </row>
    <row r="232" customFormat="false" ht="15" hidden="false" customHeight="false" outlineLevel="0" collapsed="false">
      <c r="H232" s="26"/>
    </row>
    <row r="233" customFormat="false" ht="15" hidden="false" customHeight="false" outlineLevel="0" collapsed="false">
      <c r="H233" s="26"/>
    </row>
    <row r="234" customFormat="false" ht="15" hidden="false" customHeight="false" outlineLevel="0" collapsed="false">
      <c r="H234" s="26"/>
    </row>
    <row r="235" customFormat="false" ht="15" hidden="false" customHeight="false" outlineLevel="0" collapsed="false">
      <c r="H235" s="26"/>
    </row>
    <row r="236" customFormat="false" ht="15" hidden="false" customHeight="false" outlineLevel="0" collapsed="false">
      <c r="H236" s="26"/>
    </row>
    <row r="237" customFormat="false" ht="15" hidden="false" customHeight="false" outlineLevel="0" collapsed="false">
      <c r="H237" s="26"/>
    </row>
    <row r="238" customFormat="false" ht="15" hidden="false" customHeight="false" outlineLevel="0" collapsed="false">
      <c r="H238" s="26"/>
    </row>
    <row r="239" customFormat="false" ht="15" hidden="false" customHeight="false" outlineLevel="0" collapsed="false">
      <c r="H239" s="26"/>
    </row>
    <row r="240" customFormat="false" ht="15" hidden="false" customHeight="false" outlineLevel="0" collapsed="false">
      <c r="H240" s="26"/>
    </row>
    <row r="241" customFormat="false" ht="15" hidden="false" customHeight="false" outlineLevel="0" collapsed="false">
      <c r="H241" s="26"/>
    </row>
    <row r="242" customFormat="false" ht="15" hidden="false" customHeight="false" outlineLevel="0" collapsed="false">
      <c r="H242" s="26"/>
    </row>
    <row r="243" customFormat="false" ht="15" hidden="false" customHeight="false" outlineLevel="0" collapsed="false">
      <c r="H243" s="26"/>
    </row>
    <row r="244" customFormat="false" ht="15" hidden="false" customHeight="false" outlineLevel="0" collapsed="false">
      <c r="H244" s="26"/>
    </row>
    <row r="245" customFormat="false" ht="15" hidden="false" customHeight="false" outlineLevel="0" collapsed="false">
      <c r="H245" s="26"/>
    </row>
    <row r="246" customFormat="false" ht="15" hidden="false" customHeight="false" outlineLevel="0" collapsed="false">
      <c r="H246" s="26"/>
    </row>
    <row r="247" customFormat="false" ht="15" hidden="false" customHeight="false" outlineLevel="0" collapsed="false">
      <c r="H247" s="26"/>
    </row>
    <row r="248" customFormat="false" ht="15" hidden="false" customHeight="false" outlineLevel="0" collapsed="false">
      <c r="H248" s="26"/>
    </row>
    <row r="249" customFormat="false" ht="15" hidden="false" customHeight="false" outlineLevel="0" collapsed="false">
      <c r="H249" s="26"/>
    </row>
    <row r="250" customFormat="false" ht="15" hidden="false" customHeight="false" outlineLevel="0" collapsed="false">
      <c r="H250" s="26"/>
    </row>
    <row r="251" customFormat="false" ht="15" hidden="false" customHeight="false" outlineLevel="0" collapsed="false">
      <c r="H251" s="26"/>
    </row>
    <row r="252" customFormat="false" ht="15" hidden="false" customHeight="false" outlineLevel="0" collapsed="false">
      <c r="H252" s="26"/>
    </row>
    <row r="253" customFormat="false" ht="15" hidden="false" customHeight="false" outlineLevel="0" collapsed="false">
      <c r="H253" s="26"/>
    </row>
    <row r="254" customFormat="false" ht="15" hidden="false" customHeight="false" outlineLevel="0" collapsed="false">
      <c r="H254" s="26"/>
    </row>
    <row r="255" customFormat="false" ht="15" hidden="false" customHeight="false" outlineLevel="0" collapsed="false">
      <c r="H255" s="26"/>
    </row>
    <row r="256" customFormat="false" ht="15" hidden="false" customHeight="false" outlineLevel="0" collapsed="false">
      <c r="H256" s="26"/>
    </row>
    <row r="257" customFormat="false" ht="15" hidden="false" customHeight="false" outlineLevel="0" collapsed="false">
      <c r="H257" s="26"/>
    </row>
    <row r="258" customFormat="false" ht="15" hidden="false" customHeight="false" outlineLevel="0" collapsed="false">
      <c r="H258" s="26"/>
    </row>
    <row r="259" customFormat="false" ht="15" hidden="false" customHeight="false" outlineLevel="0" collapsed="false">
      <c r="H259" s="26"/>
    </row>
    <row r="260" customFormat="false" ht="15" hidden="false" customHeight="false" outlineLevel="0" collapsed="false">
      <c r="H260" s="26"/>
    </row>
    <row r="261" customFormat="false" ht="15" hidden="false" customHeight="false" outlineLevel="0" collapsed="false">
      <c r="H261" s="26"/>
    </row>
    <row r="262" customFormat="false" ht="15" hidden="false" customHeight="false" outlineLevel="0" collapsed="false">
      <c r="H262" s="26"/>
    </row>
    <row r="263" customFormat="false" ht="15" hidden="false" customHeight="false" outlineLevel="0" collapsed="false">
      <c r="H263" s="26"/>
    </row>
    <row r="264" customFormat="false" ht="15" hidden="false" customHeight="false" outlineLevel="0" collapsed="false">
      <c r="H264" s="26"/>
    </row>
    <row r="265" customFormat="false" ht="15" hidden="false" customHeight="false" outlineLevel="0" collapsed="false">
      <c r="H265" s="26"/>
    </row>
    <row r="266" customFormat="false" ht="15" hidden="false" customHeight="false" outlineLevel="0" collapsed="false">
      <c r="H266" s="26"/>
    </row>
    <row r="267" customFormat="false" ht="15" hidden="false" customHeight="false" outlineLevel="0" collapsed="false">
      <c r="H267" s="26"/>
    </row>
    <row r="268" customFormat="false" ht="15" hidden="false" customHeight="false" outlineLevel="0" collapsed="false">
      <c r="H268" s="26"/>
    </row>
    <row r="269" customFormat="false" ht="15" hidden="false" customHeight="false" outlineLevel="0" collapsed="false">
      <c r="H269" s="26"/>
    </row>
    <row r="270" customFormat="false" ht="15" hidden="false" customHeight="false" outlineLevel="0" collapsed="false">
      <c r="H270" s="26"/>
    </row>
    <row r="271" customFormat="false" ht="15" hidden="false" customHeight="false" outlineLevel="0" collapsed="false">
      <c r="H271" s="26"/>
    </row>
    <row r="272" customFormat="false" ht="15" hidden="false" customHeight="false" outlineLevel="0" collapsed="false">
      <c r="H272" s="26"/>
    </row>
    <row r="273" customFormat="false" ht="15" hidden="false" customHeight="false" outlineLevel="0" collapsed="false">
      <c r="H273" s="26"/>
    </row>
    <row r="274" customFormat="false" ht="15" hidden="false" customHeight="false" outlineLevel="0" collapsed="false">
      <c r="H274" s="26"/>
    </row>
    <row r="275" customFormat="false" ht="15" hidden="false" customHeight="false" outlineLevel="0" collapsed="false">
      <c r="H275" s="26"/>
    </row>
    <row r="276" customFormat="false" ht="15" hidden="false" customHeight="false" outlineLevel="0" collapsed="false">
      <c r="H276" s="26"/>
    </row>
    <row r="277" customFormat="false" ht="15" hidden="false" customHeight="false" outlineLevel="0" collapsed="false">
      <c r="H277" s="26"/>
    </row>
    <row r="278" customFormat="false" ht="15" hidden="false" customHeight="false" outlineLevel="0" collapsed="false">
      <c r="H278" s="26"/>
    </row>
    <row r="279" customFormat="false" ht="15" hidden="false" customHeight="false" outlineLevel="0" collapsed="false">
      <c r="H279" s="26"/>
    </row>
    <row r="280" customFormat="false" ht="15" hidden="false" customHeight="false" outlineLevel="0" collapsed="false">
      <c r="H280" s="26"/>
    </row>
    <row r="281" customFormat="false" ht="15" hidden="false" customHeight="false" outlineLevel="0" collapsed="false">
      <c r="H281" s="26"/>
    </row>
    <row r="282" customFormat="false" ht="15" hidden="false" customHeight="false" outlineLevel="0" collapsed="false">
      <c r="H282" s="26"/>
    </row>
    <row r="283" customFormat="false" ht="15" hidden="false" customHeight="false" outlineLevel="0" collapsed="false">
      <c r="H283" s="26"/>
    </row>
    <row r="284" customFormat="false" ht="15" hidden="false" customHeight="false" outlineLevel="0" collapsed="false">
      <c r="H284" s="26"/>
    </row>
    <row r="285" customFormat="false" ht="15" hidden="false" customHeight="false" outlineLevel="0" collapsed="false">
      <c r="H285" s="26"/>
    </row>
    <row r="286" customFormat="false" ht="15" hidden="false" customHeight="false" outlineLevel="0" collapsed="false">
      <c r="H286" s="26"/>
    </row>
    <row r="287" customFormat="false" ht="15" hidden="false" customHeight="false" outlineLevel="0" collapsed="false">
      <c r="H287" s="26"/>
    </row>
    <row r="288" customFormat="false" ht="15" hidden="false" customHeight="false" outlineLevel="0" collapsed="false">
      <c r="H288" s="26"/>
    </row>
    <row r="289" customFormat="false" ht="15" hidden="false" customHeight="false" outlineLevel="0" collapsed="false">
      <c r="H289" s="26"/>
    </row>
    <row r="290" customFormat="false" ht="15" hidden="false" customHeight="false" outlineLevel="0" collapsed="false">
      <c r="H290" s="26"/>
    </row>
    <row r="291" customFormat="false" ht="15" hidden="false" customHeight="false" outlineLevel="0" collapsed="false">
      <c r="H291" s="26"/>
    </row>
    <row r="292" customFormat="false" ht="15" hidden="false" customHeight="false" outlineLevel="0" collapsed="false">
      <c r="H292" s="26"/>
    </row>
    <row r="293" customFormat="false" ht="15" hidden="false" customHeight="false" outlineLevel="0" collapsed="false">
      <c r="H293" s="26"/>
    </row>
    <row r="294" customFormat="false" ht="15" hidden="false" customHeight="false" outlineLevel="0" collapsed="false">
      <c r="H294" s="26"/>
    </row>
    <row r="295" customFormat="false" ht="15" hidden="false" customHeight="false" outlineLevel="0" collapsed="false">
      <c r="H295" s="26"/>
    </row>
    <row r="296" customFormat="false" ht="15" hidden="false" customHeight="false" outlineLevel="0" collapsed="false">
      <c r="H296" s="26"/>
    </row>
    <row r="297" customFormat="false" ht="15" hidden="false" customHeight="false" outlineLevel="0" collapsed="false">
      <c r="H297" s="26"/>
    </row>
    <row r="298" customFormat="false" ht="15" hidden="false" customHeight="false" outlineLevel="0" collapsed="false">
      <c r="H298" s="26"/>
    </row>
    <row r="299" customFormat="false" ht="15" hidden="false" customHeight="false" outlineLevel="0" collapsed="false">
      <c r="H299" s="26"/>
    </row>
    <row r="300" customFormat="false" ht="15" hidden="false" customHeight="false" outlineLevel="0" collapsed="false">
      <c r="H300" s="26"/>
    </row>
    <row r="301" customFormat="false" ht="15" hidden="false" customHeight="false" outlineLevel="0" collapsed="false">
      <c r="H301" s="26"/>
    </row>
    <row r="302" customFormat="false" ht="15" hidden="false" customHeight="false" outlineLevel="0" collapsed="false">
      <c r="H302" s="26"/>
    </row>
    <row r="303" customFormat="false" ht="15" hidden="false" customHeight="false" outlineLevel="0" collapsed="false">
      <c r="H303" s="26"/>
    </row>
    <row r="304" customFormat="false" ht="15" hidden="false" customHeight="false" outlineLevel="0" collapsed="false">
      <c r="H304" s="26"/>
    </row>
    <row r="305" customFormat="false" ht="15" hidden="false" customHeight="false" outlineLevel="0" collapsed="false">
      <c r="H305" s="26"/>
    </row>
    <row r="306" customFormat="false" ht="15" hidden="false" customHeight="false" outlineLevel="0" collapsed="false">
      <c r="H306" s="26"/>
    </row>
    <row r="307" customFormat="false" ht="15" hidden="false" customHeight="false" outlineLevel="0" collapsed="false">
      <c r="H307" s="26"/>
    </row>
    <row r="308" customFormat="false" ht="15" hidden="false" customHeight="false" outlineLevel="0" collapsed="false">
      <c r="H308" s="26"/>
    </row>
    <row r="309" customFormat="false" ht="15" hidden="false" customHeight="false" outlineLevel="0" collapsed="false">
      <c r="H309" s="26"/>
    </row>
    <row r="310" customFormat="false" ht="15" hidden="false" customHeight="false" outlineLevel="0" collapsed="false">
      <c r="H310" s="26"/>
    </row>
    <row r="311" customFormat="false" ht="15" hidden="false" customHeight="false" outlineLevel="0" collapsed="false">
      <c r="H311" s="26"/>
    </row>
    <row r="312" customFormat="false" ht="15" hidden="false" customHeight="false" outlineLevel="0" collapsed="false">
      <c r="H312" s="26"/>
    </row>
    <row r="313" customFormat="false" ht="15" hidden="false" customHeight="false" outlineLevel="0" collapsed="false">
      <c r="H313" s="26"/>
    </row>
    <row r="314" customFormat="false" ht="15" hidden="false" customHeight="false" outlineLevel="0" collapsed="false">
      <c r="H314" s="26"/>
    </row>
    <row r="315" customFormat="false" ht="15" hidden="false" customHeight="false" outlineLevel="0" collapsed="false">
      <c r="H315" s="26"/>
    </row>
    <row r="316" customFormat="false" ht="15" hidden="false" customHeight="false" outlineLevel="0" collapsed="false">
      <c r="H316" s="26"/>
    </row>
    <row r="317" customFormat="false" ht="15" hidden="false" customHeight="false" outlineLevel="0" collapsed="false">
      <c r="H317" s="26"/>
    </row>
    <row r="318" customFormat="false" ht="15" hidden="false" customHeight="false" outlineLevel="0" collapsed="false">
      <c r="H318" s="26"/>
    </row>
    <row r="319" customFormat="false" ht="15" hidden="false" customHeight="false" outlineLevel="0" collapsed="false">
      <c r="H319" s="26"/>
    </row>
    <row r="320" customFormat="false" ht="15" hidden="false" customHeight="false" outlineLevel="0" collapsed="false">
      <c r="H320" s="26"/>
    </row>
    <row r="321" customFormat="false" ht="15" hidden="false" customHeight="false" outlineLevel="0" collapsed="false">
      <c r="H321" s="26"/>
    </row>
    <row r="322" customFormat="false" ht="15" hidden="false" customHeight="false" outlineLevel="0" collapsed="false">
      <c r="H322" s="26"/>
    </row>
    <row r="323" customFormat="false" ht="15" hidden="false" customHeight="false" outlineLevel="0" collapsed="false">
      <c r="H323" s="26"/>
    </row>
    <row r="324" customFormat="false" ht="15" hidden="false" customHeight="false" outlineLevel="0" collapsed="false">
      <c r="H324" s="26"/>
    </row>
    <row r="325" customFormat="false" ht="15" hidden="false" customHeight="false" outlineLevel="0" collapsed="false">
      <c r="H325" s="26"/>
    </row>
    <row r="326" customFormat="false" ht="15" hidden="false" customHeight="false" outlineLevel="0" collapsed="false">
      <c r="H326" s="26"/>
    </row>
    <row r="327" customFormat="false" ht="15" hidden="false" customHeight="false" outlineLevel="0" collapsed="false">
      <c r="H327" s="26"/>
    </row>
    <row r="328" customFormat="false" ht="15" hidden="false" customHeight="false" outlineLevel="0" collapsed="false">
      <c r="H328" s="26"/>
    </row>
    <row r="329" customFormat="false" ht="15" hidden="false" customHeight="false" outlineLevel="0" collapsed="false">
      <c r="H329" s="26"/>
    </row>
    <row r="330" customFormat="false" ht="15" hidden="false" customHeight="false" outlineLevel="0" collapsed="false">
      <c r="H330" s="26"/>
    </row>
    <row r="331" customFormat="false" ht="15" hidden="false" customHeight="false" outlineLevel="0" collapsed="false">
      <c r="H331" s="26"/>
    </row>
    <row r="332" customFormat="false" ht="15" hidden="false" customHeight="false" outlineLevel="0" collapsed="false">
      <c r="H332" s="26"/>
    </row>
    <row r="333" customFormat="false" ht="15" hidden="false" customHeight="false" outlineLevel="0" collapsed="false">
      <c r="H333" s="26"/>
    </row>
    <row r="334" customFormat="false" ht="15" hidden="false" customHeight="false" outlineLevel="0" collapsed="false">
      <c r="H334" s="26"/>
    </row>
    <row r="335" customFormat="false" ht="15" hidden="false" customHeight="false" outlineLevel="0" collapsed="false">
      <c r="H335" s="26"/>
    </row>
    <row r="336" customFormat="false" ht="15" hidden="false" customHeight="false" outlineLevel="0" collapsed="false">
      <c r="H336" s="26"/>
    </row>
    <row r="337" customFormat="false" ht="15" hidden="false" customHeight="false" outlineLevel="0" collapsed="false">
      <c r="H337" s="26"/>
    </row>
    <row r="338" customFormat="false" ht="15" hidden="false" customHeight="false" outlineLevel="0" collapsed="false">
      <c r="H338" s="26"/>
    </row>
    <row r="339" customFormat="false" ht="15" hidden="false" customHeight="false" outlineLevel="0" collapsed="false">
      <c r="H339" s="26"/>
    </row>
    <row r="340" customFormat="false" ht="15" hidden="false" customHeight="false" outlineLevel="0" collapsed="false">
      <c r="H340" s="26"/>
    </row>
    <row r="341" customFormat="false" ht="15" hidden="false" customHeight="false" outlineLevel="0" collapsed="false">
      <c r="H341" s="26"/>
    </row>
    <row r="342" customFormat="false" ht="15" hidden="false" customHeight="false" outlineLevel="0" collapsed="false">
      <c r="H342" s="26"/>
    </row>
    <row r="343" customFormat="false" ht="15" hidden="false" customHeight="false" outlineLevel="0" collapsed="false">
      <c r="H343" s="26"/>
    </row>
    <row r="344" customFormat="false" ht="15" hidden="false" customHeight="false" outlineLevel="0" collapsed="false">
      <c r="H344" s="26"/>
    </row>
    <row r="345" customFormat="false" ht="15" hidden="false" customHeight="false" outlineLevel="0" collapsed="false">
      <c r="H345" s="26"/>
    </row>
    <row r="346" customFormat="false" ht="15" hidden="false" customHeight="false" outlineLevel="0" collapsed="false">
      <c r="H346" s="26"/>
    </row>
    <row r="347" customFormat="false" ht="15" hidden="false" customHeight="false" outlineLevel="0" collapsed="false">
      <c r="H347" s="26"/>
    </row>
    <row r="348" customFormat="false" ht="15" hidden="false" customHeight="false" outlineLevel="0" collapsed="false">
      <c r="H348" s="26"/>
    </row>
    <row r="349" customFormat="false" ht="15" hidden="false" customHeight="false" outlineLevel="0" collapsed="false">
      <c r="H349" s="26"/>
    </row>
    <row r="350" customFormat="false" ht="15" hidden="false" customHeight="false" outlineLevel="0" collapsed="false">
      <c r="H350" s="26"/>
    </row>
    <row r="351" customFormat="false" ht="15" hidden="false" customHeight="false" outlineLevel="0" collapsed="false">
      <c r="H351" s="26"/>
    </row>
    <row r="352" customFormat="false" ht="15" hidden="false" customHeight="false" outlineLevel="0" collapsed="false">
      <c r="H352" s="26"/>
    </row>
    <row r="353" customFormat="false" ht="15" hidden="false" customHeight="false" outlineLevel="0" collapsed="false">
      <c r="H353" s="26"/>
    </row>
    <row r="354" customFormat="false" ht="15" hidden="false" customHeight="false" outlineLevel="0" collapsed="false">
      <c r="H354" s="26"/>
    </row>
    <row r="355" customFormat="false" ht="15" hidden="false" customHeight="false" outlineLevel="0" collapsed="false">
      <c r="H355" s="26"/>
    </row>
    <row r="356" customFormat="false" ht="15" hidden="false" customHeight="false" outlineLevel="0" collapsed="false">
      <c r="H356" s="26"/>
    </row>
    <row r="357" customFormat="false" ht="15" hidden="false" customHeight="false" outlineLevel="0" collapsed="false">
      <c r="H357" s="26"/>
    </row>
    <row r="358" customFormat="false" ht="15" hidden="false" customHeight="false" outlineLevel="0" collapsed="false">
      <c r="H358" s="26"/>
    </row>
    <row r="359" customFormat="false" ht="15" hidden="false" customHeight="false" outlineLevel="0" collapsed="false">
      <c r="H359" s="26"/>
    </row>
    <row r="360" customFormat="false" ht="15" hidden="false" customHeight="false" outlineLevel="0" collapsed="false">
      <c r="H360" s="26"/>
    </row>
    <row r="361" customFormat="false" ht="15" hidden="false" customHeight="false" outlineLevel="0" collapsed="false">
      <c r="H361" s="26"/>
    </row>
    <row r="362" customFormat="false" ht="15" hidden="false" customHeight="false" outlineLevel="0" collapsed="false">
      <c r="H362" s="26"/>
    </row>
    <row r="363" customFormat="false" ht="15" hidden="false" customHeight="false" outlineLevel="0" collapsed="false">
      <c r="H363" s="26"/>
    </row>
    <row r="364" customFormat="false" ht="15" hidden="false" customHeight="false" outlineLevel="0" collapsed="false">
      <c r="H364" s="26"/>
    </row>
    <row r="365" customFormat="false" ht="15" hidden="false" customHeight="false" outlineLevel="0" collapsed="false">
      <c r="H365" s="26"/>
    </row>
    <row r="366" customFormat="false" ht="15" hidden="false" customHeight="false" outlineLevel="0" collapsed="false">
      <c r="H366" s="26"/>
    </row>
    <row r="367" customFormat="false" ht="15" hidden="false" customHeight="false" outlineLevel="0" collapsed="false">
      <c r="H367" s="26"/>
    </row>
    <row r="368" customFormat="false" ht="15" hidden="false" customHeight="false" outlineLevel="0" collapsed="false">
      <c r="H368" s="26"/>
    </row>
    <row r="369" customFormat="false" ht="15" hidden="false" customHeight="false" outlineLevel="0" collapsed="false">
      <c r="H369" s="26"/>
    </row>
    <row r="370" customFormat="false" ht="15" hidden="false" customHeight="false" outlineLevel="0" collapsed="false">
      <c r="H370" s="26"/>
    </row>
    <row r="371" customFormat="false" ht="15" hidden="false" customHeight="false" outlineLevel="0" collapsed="false">
      <c r="H371" s="26"/>
    </row>
    <row r="372" customFormat="false" ht="15" hidden="false" customHeight="false" outlineLevel="0" collapsed="false">
      <c r="H372" s="26"/>
    </row>
    <row r="373" customFormat="false" ht="15" hidden="false" customHeight="false" outlineLevel="0" collapsed="false">
      <c r="H373" s="26"/>
    </row>
    <row r="374" customFormat="false" ht="15" hidden="false" customHeight="false" outlineLevel="0" collapsed="false">
      <c r="H374" s="26"/>
    </row>
    <row r="375" customFormat="false" ht="15" hidden="false" customHeight="false" outlineLevel="0" collapsed="false">
      <c r="H375" s="26"/>
    </row>
    <row r="376" customFormat="false" ht="15" hidden="false" customHeight="false" outlineLevel="0" collapsed="false">
      <c r="H376" s="26"/>
    </row>
    <row r="377" customFormat="false" ht="15" hidden="false" customHeight="false" outlineLevel="0" collapsed="false">
      <c r="H377" s="26"/>
    </row>
    <row r="378" customFormat="false" ht="15" hidden="false" customHeight="false" outlineLevel="0" collapsed="false">
      <c r="H378" s="26"/>
    </row>
    <row r="379" customFormat="false" ht="15" hidden="false" customHeight="false" outlineLevel="0" collapsed="false">
      <c r="H379" s="26"/>
    </row>
    <row r="380" customFormat="false" ht="15" hidden="false" customHeight="false" outlineLevel="0" collapsed="false">
      <c r="H380" s="26"/>
    </row>
    <row r="381" customFormat="false" ht="15" hidden="false" customHeight="false" outlineLevel="0" collapsed="false">
      <c r="H381" s="26"/>
    </row>
    <row r="382" customFormat="false" ht="15" hidden="false" customHeight="false" outlineLevel="0" collapsed="false">
      <c r="H382" s="26"/>
    </row>
    <row r="383" customFormat="false" ht="15" hidden="false" customHeight="false" outlineLevel="0" collapsed="false">
      <c r="H383" s="26"/>
    </row>
    <row r="384" customFormat="false" ht="15" hidden="false" customHeight="false" outlineLevel="0" collapsed="false">
      <c r="H384" s="26"/>
    </row>
    <row r="385" customFormat="false" ht="15" hidden="false" customHeight="false" outlineLevel="0" collapsed="false">
      <c r="H385" s="26"/>
    </row>
    <row r="386" customFormat="false" ht="15" hidden="false" customHeight="false" outlineLevel="0" collapsed="false">
      <c r="H386" s="26"/>
    </row>
    <row r="387" customFormat="false" ht="15" hidden="false" customHeight="false" outlineLevel="0" collapsed="false">
      <c r="H387" s="26"/>
    </row>
    <row r="388" customFormat="false" ht="15" hidden="false" customHeight="false" outlineLevel="0" collapsed="false">
      <c r="H388" s="26"/>
    </row>
    <row r="389" customFormat="false" ht="15" hidden="false" customHeight="false" outlineLevel="0" collapsed="false">
      <c r="H389" s="26"/>
    </row>
    <row r="390" customFormat="false" ht="15" hidden="false" customHeight="false" outlineLevel="0" collapsed="false">
      <c r="H390" s="26"/>
    </row>
    <row r="391" customFormat="false" ht="15" hidden="false" customHeight="false" outlineLevel="0" collapsed="false">
      <c r="H391" s="26"/>
    </row>
    <row r="392" customFormat="false" ht="15" hidden="false" customHeight="false" outlineLevel="0" collapsed="false">
      <c r="H392" s="26"/>
    </row>
    <row r="393" customFormat="false" ht="15" hidden="false" customHeight="false" outlineLevel="0" collapsed="false">
      <c r="H393" s="26"/>
    </row>
    <row r="394" customFormat="false" ht="15" hidden="false" customHeight="false" outlineLevel="0" collapsed="false">
      <c r="H394" s="26"/>
    </row>
    <row r="395" customFormat="false" ht="15" hidden="false" customHeight="false" outlineLevel="0" collapsed="false">
      <c r="H395" s="26"/>
    </row>
    <row r="396" customFormat="false" ht="15" hidden="false" customHeight="false" outlineLevel="0" collapsed="false">
      <c r="H396" s="26"/>
    </row>
    <row r="397" customFormat="false" ht="15" hidden="false" customHeight="false" outlineLevel="0" collapsed="false">
      <c r="H397" s="26"/>
    </row>
    <row r="398" customFormat="false" ht="15" hidden="false" customHeight="false" outlineLevel="0" collapsed="false">
      <c r="H398" s="26"/>
    </row>
    <row r="399" customFormat="false" ht="15" hidden="false" customHeight="false" outlineLevel="0" collapsed="false">
      <c r="H399" s="26"/>
    </row>
    <row r="400" customFormat="false" ht="15" hidden="false" customHeight="false" outlineLevel="0" collapsed="false">
      <c r="H400" s="26"/>
    </row>
    <row r="401" customFormat="false" ht="15" hidden="false" customHeight="false" outlineLevel="0" collapsed="false">
      <c r="H401" s="26"/>
    </row>
    <row r="402" customFormat="false" ht="15" hidden="false" customHeight="false" outlineLevel="0" collapsed="false">
      <c r="H402" s="26"/>
    </row>
    <row r="403" customFormat="false" ht="15" hidden="false" customHeight="false" outlineLevel="0" collapsed="false">
      <c r="H403" s="26"/>
    </row>
    <row r="404" customFormat="false" ht="15" hidden="false" customHeight="false" outlineLevel="0" collapsed="false">
      <c r="H404" s="26"/>
    </row>
    <row r="405" customFormat="false" ht="15" hidden="false" customHeight="false" outlineLevel="0" collapsed="false">
      <c r="H405" s="26"/>
    </row>
    <row r="406" customFormat="false" ht="15" hidden="false" customHeight="false" outlineLevel="0" collapsed="false">
      <c r="H406" s="26"/>
    </row>
    <row r="407" customFormat="false" ht="15" hidden="false" customHeight="false" outlineLevel="0" collapsed="false">
      <c r="H407" s="26"/>
    </row>
    <row r="408" customFormat="false" ht="15" hidden="false" customHeight="false" outlineLevel="0" collapsed="false">
      <c r="H408" s="26"/>
    </row>
    <row r="409" customFormat="false" ht="15" hidden="false" customHeight="false" outlineLevel="0" collapsed="false">
      <c r="H409" s="26"/>
    </row>
    <row r="410" customFormat="false" ht="15" hidden="false" customHeight="false" outlineLevel="0" collapsed="false">
      <c r="H410" s="26"/>
    </row>
    <row r="411" customFormat="false" ht="15" hidden="false" customHeight="false" outlineLevel="0" collapsed="false">
      <c r="H411" s="26"/>
    </row>
    <row r="412" customFormat="false" ht="15" hidden="false" customHeight="false" outlineLevel="0" collapsed="false">
      <c r="H412" s="26"/>
    </row>
    <row r="413" customFormat="false" ht="15" hidden="false" customHeight="false" outlineLevel="0" collapsed="false">
      <c r="H413" s="26"/>
    </row>
    <row r="414" customFormat="false" ht="15" hidden="false" customHeight="false" outlineLevel="0" collapsed="false">
      <c r="H414" s="26"/>
    </row>
    <row r="415" customFormat="false" ht="15" hidden="false" customHeight="false" outlineLevel="0" collapsed="false">
      <c r="H415" s="26"/>
    </row>
    <row r="416" customFormat="false" ht="15" hidden="false" customHeight="false" outlineLevel="0" collapsed="false">
      <c r="H416" s="26"/>
    </row>
    <row r="417" customFormat="false" ht="15" hidden="false" customHeight="false" outlineLevel="0" collapsed="false">
      <c r="H417" s="26"/>
    </row>
    <row r="418" customFormat="false" ht="15" hidden="false" customHeight="false" outlineLevel="0" collapsed="false">
      <c r="H418" s="26"/>
    </row>
    <row r="419" customFormat="false" ht="15" hidden="false" customHeight="false" outlineLevel="0" collapsed="false">
      <c r="H419" s="26"/>
    </row>
    <row r="420" customFormat="false" ht="15" hidden="false" customHeight="false" outlineLevel="0" collapsed="false">
      <c r="H420" s="26"/>
    </row>
    <row r="421" customFormat="false" ht="15" hidden="false" customHeight="false" outlineLevel="0" collapsed="false">
      <c r="H421" s="26"/>
    </row>
    <row r="422" customFormat="false" ht="15" hidden="false" customHeight="false" outlineLevel="0" collapsed="false">
      <c r="H422" s="26"/>
    </row>
    <row r="423" customFormat="false" ht="15" hidden="false" customHeight="false" outlineLevel="0" collapsed="false">
      <c r="H423" s="26"/>
    </row>
    <row r="424" customFormat="false" ht="15" hidden="false" customHeight="false" outlineLevel="0" collapsed="false">
      <c r="H424" s="26"/>
    </row>
    <row r="425" customFormat="false" ht="15" hidden="false" customHeight="false" outlineLevel="0" collapsed="false">
      <c r="H425" s="26"/>
    </row>
    <row r="426" customFormat="false" ht="15" hidden="false" customHeight="false" outlineLevel="0" collapsed="false">
      <c r="H426" s="26"/>
    </row>
    <row r="427" customFormat="false" ht="15" hidden="false" customHeight="false" outlineLevel="0" collapsed="false">
      <c r="H427" s="26"/>
    </row>
    <row r="428" customFormat="false" ht="15" hidden="false" customHeight="false" outlineLevel="0" collapsed="false">
      <c r="H428" s="26"/>
    </row>
    <row r="429" customFormat="false" ht="15" hidden="false" customHeight="false" outlineLevel="0" collapsed="false">
      <c r="H429" s="26"/>
    </row>
    <row r="430" customFormat="false" ht="15" hidden="false" customHeight="false" outlineLevel="0" collapsed="false">
      <c r="H430" s="26"/>
    </row>
    <row r="431" customFormat="false" ht="15" hidden="false" customHeight="false" outlineLevel="0" collapsed="false">
      <c r="H431" s="26"/>
    </row>
    <row r="432" customFormat="false" ht="15" hidden="false" customHeight="false" outlineLevel="0" collapsed="false">
      <c r="H432" s="26"/>
    </row>
    <row r="433" customFormat="false" ht="15" hidden="false" customHeight="false" outlineLevel="0" collapsed="false">
      <c r="H433" s="26"/>
    </row>
    <row r="434" customFormat="false" ht="15" hidden="false" customHeight="false" outlineLevel="0" collapsed="false">
      <c r="H434" s="26"/>
    </row>
    <row r="435" customFormat="false" ht="15" hidden="false" customHeight="false" outlineLevel="0" collapsed="false">
      <c r="H435" s="26"/>
    </row>
    <row r="436" customFormat="false" ht="15" hidden="false" customHeight="false" outlineLevel="0" collapsed="false">
      <c r="H436" s="26"/>
    </row>
    <row r="437" customFormat="false" ht="15" hidden="false" customHeight="false" outlineLevel="0" collapsed="false">
      <c r="H437" s="26"/>
    </row>
    <row r="438" customFormat="false" ht="15" hidden="false" customHeight="false" outlineLevel="0" collapsed="false">
      <c r="H438" s="26"/>
    </row>
    <row r="439" customFormat="false" ht="15" hidden="false" customHeight="false" outlineLevel="0" collapsed="false">
      <c r="H439" s="26"/>
    </row>
    <row r="440" customFormat="false" ht="15" hidden="false" customHeight="false" outlineLevel="0" collapsed="false">
      <c r="H440" s="26"/>
    </row>
    <row r="441" customFormat="false" ht="15" hidden="false" customHeight="false" outlineLevel="0" collapsed="false">
      <c r="H441" s="26"/>
    </row>
    <row r="442" customFormat="false" ht="15" hidden="false" customHeight="false" outlineLevel="0" collapsed="false">
      <c r="H442" s="26"/>
    </row>
    <row r="443" customFormat="false" ht="15" hidden="false" customHeight="false" outlineLevel="0" collapsed="false">
      <c r="H443" s="26"/>
    </row>
    <row r="444" customFormat="false" ht="15" hidden="false" customHeight="false" outlineLevel="0" collapsed="false">
      <c r="H444" s="26"/>
    </row>
    <row r="445" customFormat="false" ht="15" hidden="false" customHeight="false" outlineLevel="0" collapsed="false">
      <c r="H445" s="26"/>
    </row>
    <row r="446" customFormat="false" ht="15" hidden="false" customHeight="false" outlineLevel="0" collapsed="false">
      <c r="H446" s="26"/>
    </row>
    <row r="447" customFormat="false" ht="15" hidden="false" customHeight="false" outlineLevel="0" collapsed="false">
      <c r="H447" s="26"/>
    </row>
    <row r="448" customFormat="false" ht="15" hidden="false" customHeight="false" outlineLevel="0" collapsed="false">
      <c r="H448" s="26"/>
    </row>
    <row r="449" customFormat="false" ht="15" hidden="false" customHeight="false" outlineLevel="0" collapsed="false">
      <c r="H449" s="26"/>
    </row>
    <row r="450" customFormat="false" ht="15" hidden="false" customHeight="false" outlineLevel="0" collapsed="false">
      <c r="H450" s="26"/>
    </row>
    <row r="451" customFormat="false" ht="15" hidden="false" customHeight="false" outlineLevel="0" collapsed="false">
      <c r="H451" s="26"/>
    </row>
    <row r="452" customFormat="false" ht="15" hidden="false" customHeight="false" outlineLevel="0" collapsed="false">
      <c r="H452" s="26"/>
    </row>
    <row r="453" customFormat="false" ht="15" hidden="false" customHeight="false" outlineLevel="0" collapsed="false">
      <c r="H453" s="26"/>
    </row>
    <row r="454" customFormat="false" ht="15" hidden="false" customHeight="false" outlineLevel="0" collapsed="false">
      <c r="H454" s="26"/>
    </row>
    <row r="455" customFormat="false" ht="15" hidden="false" customHeight="false" outlineLevel="0" collapsed="false">
      <c r="H455" s="26"/>
    </row>
    <row r="456" customFormat="false" ht="15" hidden="false" customHeight="false" outlineLevel="0" collapsed="false">
      <c r="H456" s="26"/>
    </row>
    <row r="457" customFormat="false" ht="15" hidden="false" customHeight="false" outlineLevel="0" collapsed="false">
      <c r="H457" s="26"/>
    </row>
    <row r="458" customFormat="false" ht="15" hidden="false" customHeight="false" outlineLevel="0" collapsed="false">
      <c r="H458" s="26"/>
    </row>
    <row r="459" customFormat="false" ht="15" hidden="false" customHeight="false" outlineLevel="0" collapsed="false">
      <c r="H459" s="26"/>
    </row>
    <row r="460" customFormat="false" ht="15" hidden="false" customHeight="false" outlineLevel="0" collapsed="false">
      <c r="H460" s="26"/>
    </row>
    <row r="461" customFormat="false" ht="15" hidden="false" customHeight="false" outlineLevel="0" collapsed="false">
      <c r="H461" s="26"/>
    </row>
    <row r="462" customFormat="false" ht="15" hidden="false" customHeight="false" outlineLevel="0" collapsed="false">
      <c r="H462" s="26"/>
    </row>
    <row r="463" customFormat="false" ht="15" hidden="false" customHeight="false" outlineLevel="0" collapsed="false">
      <c r="H463" s="26"/>
    </row>
    <row r="464" customFormat="false" ht="15" hidden="false" customHeight="false" outlineLevel="0" collapsed="false">
      <c r="H464" s="26"/>
    </row>
    <row r="465" customFormat="false" ht="15" hidden="false" customHeight="false" outlineLevel="0" collapsed="false">
      <c r="H465" s="26"/>
    </row>
    <row r="466" customFormat="false" ht="15" hidden="false" customHeight="false" outlineLevel="0" collapsed="false">
      <c r="H466" s="26"/>
    </row>
    <row r="467" customFormat="false" ht="15" hidden="false" customHeight="false" outlineLevel="0" collapsed="false">
      <c r="H467" s="26"/>
    </row>
    <row r="468" customFormat="false" ht="15" hidden="false" customHeight="false" outlineLevel="0" collapsed="false">
      <c r="H468" s="26"/>
    </row>
    <row r="469" customFormat="false" ht="15" hidden="false" customHeight="false" outlineLevel="0" collapsed="false">
      <c r="H469" s="26"/>
    </row>
    <row r="470" customFormat="false" ht="15" hidden="false" customHeight="false" outlineLevel="0" collapsed="false">
      <c r="H470" s="26"/>
    </row>
    <row r="471" customFormat="false" ht="15" hidden="false" customHeight="false" outlineLevel="0" collapsed="false">
      <c r="H471" s="26"/>
    </row>
    <row r="472" customFormat="false" ht="15" hidden="false" customHeight="false" outlineLevel="0" collapsed="false">
      <c r="H472" s="26"/>
    </row>
    <row r="473" customFormat="false" ht="15" hidden="false" customHeight="false" outlineLevel="0" collapsed="false">
      <c r="H473" s="26"/>
    </row>
    <row r="474" customFormat="false" ht="15" hidden="false" customHeight="false" outlineLevel="0" collapsed="false">
      <c r="H474" s="26"/>
    </row>
    <row r="475" customFormat="false" ht="15" hidden="false" customHeight="false" outlineLevel="0" collapsed="false">
      <c r="H475" s="26"/>
    </row>
    <row r="476" customFormat="false" ht="15" hidden="false" customHeight="false" outlineLevel="0" collapsed="false">
      <c r="H476" s="26"/>
    </row>
    <row r="477" customFormat="false" ht="15" hidden="false" customHeight="false" outlineLevel="0" collapsed="false">
      <c r="H477" s="26"/>
    </row>
    <row r="478" customFormat="false" ht="15" hidden="false" customHeight="false" outlineLevel="0" collapsed="false">
      <c r="H478" s="26"/>
    </row>
    <row r="479" customFormat="false" ht="15" hidden="false" customHeight="false" outlineLevel="0" collapsed="false">
      <c r="H479" s="26"/>
    </row>
    <row r="480" customFormat="false" ht="15" hidden="false" customHeight="false" outlineLevel="0" collapsed="false">
      <c r="H480" s="26"/>
    </row>
    <row r="481" customFormat="false" ht="15" hidden="false" customHeight="false" outlineLevel="0" collapsed="false">
      <c r="H481" s="26"/>
    </row>
    <row r="482" customFormat="false" ht="15" hidden="false" customHeight="false" outlineLevel="0" collapsed="false">
      <c r="H482" s="26"/>
    </row>
    <row r="483" customFormat="false" ht="15" hidden="false" customHeight="false" outlineLevel="0" collapsed="false">
      <c r="H483" s="26"/>
    </row>
    <row r="484" customFormat="false" ht="15" hidden="false" customHeight="false" outlineLevel="0" collapsed="false">
      <c r="H484" s="26"/>
    </row>
    <row r="485" customFormat="false" ht="15" hidden="false" customHeight="false" outlineLevel="0" collapsed="false">
      <c r="H485" s="26"/>
    </row>
    <row r="486" customFormat="false" ht="15" hidden="false" customHeight="false" outlineLevel="0" collapsed="false">
      <c r="H486" s="26"/>
    </row>
    <row r="487" customFormat="false" ht="15" hidden="false" customHeight="false" outlineLevel="0" collapsed="false">
      <c r="H487" s="26"/>
    </row>
    <row r="488" customFormat="false" ht="15" hidden="false" customHeight="false" outlineLevel="0" collapsed="false">
      <c r="H488" s="26"/>
    </row>
    <row r="489" customFormat="false" ht="15" hidden="false" customHeight="false" outlineLevel="0" collapsed="false">
      <c r="H489" s="26"/>
    </row>
    <row r="490" customFormat="false" ht="15" hidden="false" customHeight="false" outlineLevel="0" collapsed="false">
      <c r="H490" s="26"/>
    </row>
    <row r="491" customFormat="false" ht="15" hidden="false" customHeight="false" outlineLevel="0" collapsed="false">
      <c r="H491" s="26"/>
    </row>
    <row r="492" customFormat="false" ht="15" hidden="false" customHeight="false" outlineLevel="0" collapsed="false">
      <c r="H492" s="26"/>
    </row>
    <row r="493" customFormat="false" ht="15" hidden="false" customHeight="false" outlineLevel="0" collapsed="false">
      <c r="H493" s="26"/>
    </row>
    <row r="494" customFormat="false" ht="15" hidden="false" customHeight="false" outlineLevel="0" collapsed="false">
      <c r="H494" s="26"/>
    </row>
    <row r="495" customFormat="false" ht="15" hidden="false" customHeight="false" outlineLevel="0" collapsed="false">
      <c r="H495" s="26"/>
    </row>
    <row r="496" customFormat="false" ht="15" hidden="false" customHeight="false" outlineLevel="0" collapsed="false">
      <c r="H496" s="26"/>
    </row>
    <row r="497" customFormat="false" ht="15" hidden="false" customHeight="false" outlineLevel="0" collapsed="false">
      <c r="H497" s="26"/>
    </row>
    <row r="498" customFormat="false" ht="15" hidden="false" customHeight="false" outlineLevel="0" collapsed="false">
      <c r="H498" s="26"/>
    </row>
    <row r="499" customFormat="false" ht="15" hidden="false" customHeight="false" outlineLevel="0" collapsed="false">
      <c r="H499" s="26"/>
    </row>
    <row r="500" customFormat="false" ht="15" hidden="false" customHeight="false" outlineLevel="0" collapsed="false">
      <c r="H500" s="26"/>
    </row>
  </sheetData>
  <autoFilter ref="A1:K2"/>
  <conditionalFormatting sqref="I2:I500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E2:E500">
    <cfRule type="cellIs" priority="3" operator="between" aboveAverage="0" equalAverage="0" bottom="0" percent="0" rank="0" text="" dxfId="10">
      <formula>1</formula>
      <formula>3</formula>
    </cfRule>
    <cfRule type="cellIs" priority="4" operator="between" aboveAverage="0" equalAverage="0" bottom="0" percent="0" rank="0" text="" dxfId="12">
      <formula>4</formula>
      <formula>10</formula>
    </cfRule>
    <cfRule type="cellIs" priority="5" operator="greaterThan" aboveAverage="0" equalAverage="0" bottom="0" percent="0" rank="0" text="" dxfId="11">
      <formula>10</formula>
    </cfRule>
  </conditionalFormatting>
  <conditionalFormatting sqref="F2:F500">
    <cfRule type="cellIs" priority="6" operator="between" aboveAverage="0" equalAverage="0" bottom="0" percent="0" rank="0" text="" dxfId="10">
      <formula>1</formula>
      <formula>3</formula>
    </cfRule>
    <cfRule type="cellIs" priority="7" operator="between" aboveAverage="0" equalAverage="0" bottom="0" percent="0" rank="0" text="" dxfId="12">
      <formula>4</formula>
      <formula>10</formula>
    </cfRule>
    <cfRule type="cellIs" priority="8" operator="greaterThan" aboveAverage="0" equalAverage="0" bottom="0" percent="0" rank="0" text="" dxfId="11">
      <formula>10</formula>
    </cfRule>
  </conditionalFormatting>
  <dataValidations count="2">
    <dataValidation allowBlank="true" errorStyle="stop" operator="between" showDropDown="false" showErrorMessage="false" showInputMessage="false" sqref="B2:B500" type="list">
      <formula1>Lookups!$B$4:$B$8</formula1>
      <formula2>0</formula2>
    </dataValidation>
    <dataValidation allowBlank="true" errorStyle="stop" operator="between" showDropDown="false" showErrorMessage="false" showInputMessage="false" sqref="H2:H500" type="list">
      <formula1>Lookups!$D$4:$D$8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9" min="7" style="0" width="8"/>
    <col collapsed="false" customWidth="true" hidden="false" outlineLevel="0" max="10" min="10" style="0" width="10"/>
    <col collapsed="false" customWidth="true" hidden="false" outlineLevel="0" max="11" min="11" style="0" width="15"/>
    <col collapsed="false" customWidth="true" hidden="false" outlineLevel="0" max="12" min="12" style="0" width="60"/>
  </cols>
  <sheetData>
    <row r="1" customFormat="false" ht="31.5" hidden="false" customHeight="true" outlineLevel="0" collapsed="false">
      <c r="A1" s="21" t="s">
        <v>151</v>
      </c>
      <c r="B1" s="21" t="s">
        <v>546</v>
      </c>
      <c r="C1" s="21" t="s">
        <v>547</v>
      </c>
      <c r="D1" s="21" t="s">
        <v>100</v>
      </c>
      <c r="E1" s="21" t="s">
        <v>548</v>
      </c>
      <c r="F1" s="21" t="s">
        <v>549</v>
      </c>
      <c r="G1" s="21" t="s">
        <v>550</v>
      </c>
      <c r="H1" s="21" t="s">
        <v>551</v>
      </c>
      <c r="I1" s="21" t="s">
        <v>552</v>
      </c>
      <c r="J1" s="21" t="s">
        <v>166</v>
      </c>
      <c r="K1" s="21" t="s">
        <v>553</v>
      </c>
      <c r="L1" s="21" t="s">
        <v>167</v>
      </c>
    </row>
    <row r="2" customFormat="false" ht="15" hidden="false" customHeight="false" outlineLevel="0" collapsed="false">
      <c r="A2" s="0" t="s">
        <v>168</v>
      </c>
      <c r="B2" s="27" t="s">
        <v>554</v>
      </c>
      <c r="C2" s="0" t="s">
        <v>178</v>
      </c>
      <c r="D2" s="0" t="s">
        <v>176</v>
      </c>
      <c r="E2" s="0" t="s">
        <v>555</v>
      </c>
      <c r="F2" s="0" t="s">
        <v>555</v>
      </c>
      <c r="J2" s="0" t="n">
        <v>134</v>
      </c>
      <c r="K2" s="0" t="s">
        <v>4</v>
      </c>
    </row>
    <row r="3" customFormat="false" ht="15" hidden="false" customHeight="false" outlineLevel="0" collapsed="false">
      <c r="A3" s="0" t="s">
        <v>179</v>
      </c>
      <c r="B3" s="27" t="s">
        <v>554</v>
      </c>
      <c r="C3" s="0" t="s">
        <v>178</v>
      </c>
      <c r="D3" s="0" t="s">
        <v>185</v>
      </c>
      <c r="E3" s="0" t="s">
        <v>555</v>
      </c>
      <c r="F3" s="0" t="s">
        <v>555</v>
      </c>
      <c r="J3" s="0" t="n">
        <v>132</v>
      </c>
      <c r="K3" s="0" t="s">
        <v>4</v>
      </c>
    </row>
    <row r="4" customFormat="false" ht="15" hidden="false" customHeight="false" outlineLevel="0" collapsed="false">
      <c r="A4" s="0" t="s">
        <v>186</v>
      </c>
      <c r="B4" s="0" t="s">
        <v>555</v>
      </c>
      <c r="C4" s="0" t="s">
        <v>556</v>
      </c>
      <c r="D4" s="0" t="s">
        <v>128</v>
      </c>
      <c r="E4" s="0" t="s">
        <v>555</v>
      </c>
      <c r="F4" s="0" t="s">
        <v>555</v>
      </c>
      <c r="K4" s="0" t="s">
        <v>4</v>
      </c>
      <c r="L4" s="0" t="s">
        <v>557</v>
      </c>
    </row>
    <row r="5" customFormat="false" ht="15" hidden="false" customHeight="false" outlineLevel="0" collapsed="false">
      <c r="A5" s="0" t="s">
        <v>193</v>
      </c>
      <c r="B5" s="27" t="s">
        <v>554</v>
      </c>
      <c r="C5" s="0" t="s">
        <v>178</v>
      </c>
      <c r="D5" s="0" t="s">
        <v>199</v>
      </c>
      <c r="E5" s="0" t="s">
        <v>555</v>
      </c>
      <c r="F5" s="0" t="s">
        <v>555</v>
      </c>
      <c r="J5" s="0" t="n">
        <v>133</v>
      </c>
      <c r="K5" s="0" t="s">
        <v>4</v>
      </c>
    </row>
    <row r="6" customFormat="false" ht="15" hidden="false" customHeight="false" outlineLevel="0" collapsed="false">
      <c r="A6" s="0" t="s">
        <v>200</v>
      </c>
      <c r="B6" s="27" t="s">
        <v>554</v>
      </c>
      <c r="C6" s="0" t="s">
        <v>178</v>
      </c>
      <c r="D6" s="0" t="s">
        <v>207</v>
      </c>
      <c r="E6" s="0" t="s">
        <v>555</v>
      </c>
      <c r="F6" s="0" t="s">
        <v>555</v>
      </c>
      <c r="J6" s="0" t="n">
        <v>133</v>
      </c>
      <c r="K6" s="0" t="s">
        <v>4</v>
      </c>
    </row>
    <row r="7" customFormat="false" ht="15" hidden="false" customHeight="false" outlineLevel="0" collapsed="false">
      <c r="A7" s="0" t="s">
        <v>208</v>
      </c>
      <c r="B7" s="0" t="s">
        <v>555</v>
      </c>
      <c r="C7" s="0" t="s">
        <v>556</v>
      </c>
      <c r="D7" s="0" t="s">
        <v>143</v>
      </c>
      <c r="E7" s="0" t="s">
        <v>555</v>
      </c>
      <c r="F7" s="0" t="s">
        <v>555</v>
      </c>
      <c r="K7" s="0" t="s">
        <v>4</v>
      </c>
      <c r="L7" s="0" t="s">
        <v>557</v>
      </c>
    </row>
    <row r="8" customFormat="false" ht="15" hidden="false" customHeight="false" outlineLevel="0" collapsed="false">
      <c r="A8" s="0" t="s">
        <v>215</v>
      </c>
      <c r="B8" s="27" t="s">
        <v>554</v>
      </c>
      <c r="C8" s="0" t="s">
        <v>178</v>
      </c>
      <c r="D8" s="0" t="s">
        <v>222</v>
      </c>
      <c r="E8" s="0" t="s">
        <v>555</v>
      </c>
      <c r="F8" s="0" t="s">
        <v>555</v>
      </c>
      <c r="K8" s="0" t="s">
        <v>4</v>
      </c>
    </row>
    <row r="9" customFormat="false" ht="15" hidden="false" customHeight="false" outlineLevel="0" collapsed="false">
      <c r="A9" s="0" t="s">
        <v>223</v>
      </c>
      <c r="B9" s="0" t="s">
        <v>555</v>
      </c>
      <c r="C9" s="0" t="s">
        <v>556</v>
      </c>
      <c r="D9" s="0" t="s">
        <v>143</v>
      </c>
      <c r="E9" s="0" t="s">
        <v>555</v>
      </c>
      <c r="F9" s="0" t="s">
        <v>555</v>
      </c>
      <c r="K9" s="0" t="s">
        <v>4</v>
      </c>
      <c r="L9" s="0" t="s">
        <v>557</v>
      </c>
    </row>
    <row r="10" customFormat="false" ht="15" hidden="false" customHeight="false" outlineLevel="0" collapsed="false">
      <c r="A10" s="0" t="s">
        <v>230</v>
      </c>
      <c r="B10" s="0" t="s">
        <v>555</v>
      </c>
      <c r="C10" s="0" t="s">
        <v>556</v>
      </c>
      <c r="D10" s="0" t="s">
        <v>143</v>
      </c>
      <c r="E10" s="0" t="s">
        <v>555</v>
      </c>
      <c r="F10" s="0" t="s">
        <v>555</v>
      </c>
      <c r="K10" s="0" t="s">
        <v>4</v>
      </c>
      <c r="L10" s="0" t="s">
        <v>557</v>
      </c>
    </row>
    <row r="11" customFormat="false" ht="15" hidden="false" customHeight="false" outlineLevel="0" collapsed="false">
      <c r="A11" s="0" t="s">
        <v>237</v>
      </c>
      <c r="B11" s="0" t="s">
        <v>555</v>
      </c>
      <c r="C11" s="0" t="s">
        <v>556</v>
      </c>
      <c r="D11" s="0" t="s">
        <v>143</v>
      </c>
      <c r="E11" s="0" t="s">
        <v>555</v>
      </c>
      <c r="F11" s="0" t="s">
        <v>555</v>
      </c>
      <c r="K11" s="0" t="s">
        <v>4</v>
      </c>
      <c r="L11" s="0" t="s">
        <v>557</v>
      </c>
    </row>
    <row r="12" customFormat="false" ht="15" hidden="false" customHeight="false" outlineLevel="0" collapsed="false">
      <c r="A12" s="0" t="s">
        <v>244</v>
      </c>
      <c r="B12" s="27" t="s">
        <v>554</v>
      </c>
      <c r="C12" s="0" t="s">
        <v>178</v>
      </c>
      <c r="D12" s="0" t="s">
        <v>207</v>
      </c>
      <c r="E12" s="0" t="s">
        <v>555</v>
      </c>
      <c r="F12" s="0" t="s">
        <v>555</v>
      </c>
      <c r="J12" s="0" t="n">
        <v>132</v>
      </c>
      <c r="K12" s="0" t="s">
        <v>4</v>
      </c>
    </row>
    <row r="13" customFormat="false" ht="15" hidden="false" customHeight="false" outlineLevel="0" collapsed="false">
      <c r="A13" s="0" t="s">
        <v>251</v>
      </c>
      <c r="B13" s="27" t="s">
        <v>554</v>
      </c>
      <c r="C13" s="0" t="s">
        <v>178</v>
      </c>
      <c r="D13" s="0" t="s">
        <v>143</v>
      </c>
      <c r="E13" s="0" t="s">
        <v>555</v>
      </c>
      <c r="F13" s="0" t="s">
        <v>555</v>
      </c>
      <c r="J13" s="0" t="n">
        <v>15</v>
      </c>
      <c r="K13" s="0" t="s">
        <v>4</v>
      </c>
    </row>
    <row r="14" customFormat="false" ht="15" hidden="false" customHeight="false" outlineLevel="0" collapsed="false">
      <c r="A14" s="0" t="s">
        <v>258</v>
      </c>
      <c r="B14" s="27" t="s">
        <v>554</v>
      </c>
      <c r="C14" s="0" t="s">
        <v>178</v>
      </c>
      <c r="D14" s="0" t="s">
        <v>143</v>
      </c>
      <c r="E14" s="0" t="s">
        <v>555</v>
      </c>
      <c r="F14" s="0" t="s">
        <v>555</v>
      </c>
      <c r="J14" s="0" t="n">
        <v>132</v>
      </c>
      <c r="K14" s="0" t="s">
        <v>4</v>
      </c>
    </row>
    <row r="15" customFormat="false" ht="15" hidden="false" customHeight="false" outlineLevel="0" collapsed="false">
      <c r="A15" s="0" t="s">
        <v>265</v>
      </c>
      <c r="B15" s="27" t="s">
        <v>554</v>
      </c>
      <c r="C15" s="0" t="s">
        <v>178</v>
      </c>
      <c r="D15" s="0" t="s">
        <v>143</v>
      </c>
      <c r="E15" s="0" t="s">
        <v>555</v>
      </c>
      <c r="F15" s="0" t="s">
        <v>555</v>
      </c>
      <c r="K15" s="0" t="s">
        <v>4</v>
      </c>
    </row>
    <row r="16" customFormat="false" ht="15" hidden="false" customHeight="false" outlineLevel="0" collapsed="false">
      <c r="A16" s="0" t="s">
        <v>272</v>
      </c>
      <c r="B16" s="0" t="s">
        <v>555</v>
      </c>
      <c r="C16" s="0" t="s">
        <v>556</v>
      </c>
      <c r="D16" s="0" t="s">
        <v>280</v>
      </c>
      <c r="E16" s="0" t="s">
        <v>555</v>
      </c>
      <c r="F16" s="0" t="s">
        <v>555</v>
      </c>
      <c r="K16" s="0" t="s">
        <v>4</v>
      </c>
      <c r="L16" s="0" t="s">
        <v>557</v>
      </c>
    </row>
    <row r="17" customFormat="false" ht="15" hidden="false" customHeight="false" outlineLevel="0" collapsed="false">
      <c r="A17" s="0" t="s">
        <v>281</v>
      </c>
      <c r="B17" s="0" t="s">
        <v>555</v>
      </c>
      <c r="C17" s="0" t="s">
        <v>556</v>
      </c>
      <c r="D17" s="0" t="s">
        <v>121</v>
      </c>
      <c r="E17" s="0" t="s">
        <v>555</v>
      </c>
      <c r="F17" s="0" t="s">
        <v>555</v>
      </c>
      <c r="K17" s="0" t="s">
        <v>4</v>
      </c>
      <c r="L17" s="0" t="s">
        <v>557</v>
      </c>
    </row>
    <row r="18" customFormat="false" ht="15" hidden="false" customHeight="false" outlineLevel="0" collapsed="false">
      <c r="A18" s="0" t="s">
        <v>288</v>
      </c>
      <c r="B18" s="0" t="s">
        <v>555</v>
      </c>
      <c r="C18" s="0" t="s">
        <v>556</v>
      </c>
      <c r="D18" s="0" t="s">
        <v>207</v>
      </c>
      <c r="E18" s="0" t="s">
        <v>555</v>
      </c>
      <c r="F18" s="0" t="s">
        <v>555</v>
      </c>
      <c r="K18" s="0" t="s">
        <v>4</v>
      </c>
      <c r="L18" s="0" t="s">
        <v>557</v>
      </c>
    </row>
    <row r="19" customFormat="false" ht="15" hidden="false" customHeight="false" outlineLevel="0" collapsed="false">
      <c r="A19" s="0" t="s">
        <v>296</v>
      </c>
      <c r="B19" s="27" t="s">
        <v>554</v>
      </c>
      <c r="C19" s="0" t="s">
        <v>178</v>
      </c>
      <c r="D19" s="0" t="s">
        <v>207</v>
      </c>
      <c r="E19" s="0" t="s">
        <v>555</v>
      </c>
      <c r="F19" s="0" t="s">
        <v>555</v>
      </c>
      <c r="J19" s="0" t="n">
        <v>5</v>
      </c>
      <c r="K19" s="0" t="s">
        <v>4</v>
      </c>
    </row>
    <row r="20" customFormat="false" ht="15" hidden="false" customHeight="false" outlineLevel="0" collapsed="false">
      <c r="A20" s="0" t="s">
        <v>304</v>
      </c>
      <c r="B20" s="27" t="s">
        <v>554</v>
      </c>
      <c r="C20" s="0" t="s">
        <v>178</v>
      </c>
      <c r="D20" s="0" t="s">
        <v>207</v>
      </c>
      <c r="E20" s="0" t="s">
        <v>555</v>
      </c>
      <c r="F20" s="0" t="s">
        <v>555</v>
      </c>
      <c r="K20" s="0" t="s">
        <v>4</v>
      </c>
    </row>
    <row r="21" customFormat="false" ht="15" hidden="false" customHeight="false" outlineLevel="0" collapsed="false">
      <c r="A21" s="0" t="s">
        <v>311</v>
      </c>
      <c r="B21" s="27" t="s">
        <v>554</v>
      </c>
      <c r="C21" s="0" t="s">
        <v>178</v>
      </c>
      <c r="D21" s="0" t="s">
        <v>207</v>
      </c>
      <c r="E21" s="0" t="s">
        <v>555</v>
      </c>
      <c r="F21" s="0" t="s">
        <v>555</v>
      </c>
      <c r="K21" s="0" t="s">
        <v>4</v>
      </c>
    </row>
    <row r="22" customFormat="false" ht="15" hidden="false" customHeight="false" outlineLevel="0" collapsed="false">
      <c r="A22" s="0" t="s">
        <v>318</v>
      </c>
      <c r="B22" s="27" t="s">
        <v>554</v>
      </c>
      <c r="C22" s="0" t="s">
        <v>178</v>
      </c>
      <c r="D22" s="0" t="s">
        <v>207</v>
      </c>
      <c r="E22" s="0" t="s">
        <v>555</v>
      </c>
      <c r="F22" s="0" t="s">
        <v>555</v>
      </c>
      <c r="J22" s="0" t="n">
        <v>3</v>
      </c>
      <c r="K22" s="0" t="s">
        <v>4</v>
      </c>
    </row>
    <row r="23" customFormat="false" ht="15" hidden="false" customHeight="false" outlineLevel="0" collapsed="false">
      <c r="A23" s="0" t="s">
        <v>325</v>
      </c>
      <c r="B23" s="27" t="s">
        <v>554</v>
      </c>
      <c r="C23" s="0" t="s">
        <v>178</v>
      </c>
      <c r="D23" s="0" t="s">
        <v>207</v>
      </c>
      <c r="E23" s="0" t="s">
        <v>555</v>
      </c>
      <c r="F23" s="0" t="s">
        <v>555</v>
      </c>
      <c r="K23" s="0" t="s">
        <v>4</v>
      </c>
    </row>
    <row r="24" customFormat="false" ht="15" hidden="false" customHeight="false" outlineLevel="0" collapsed="false">
      <c r="A24" s="0" t="s">
        <v>332</v>
      </c>
      <c r="B24" s="0" t="s">
        <v>555</v>
      </c>
      <c r="C24" s="0" t="s">
        <v>556</v>
      </c>
      <c r="D24" s="0" t="s">
        <v>207</v>
      </c>
      <c r="E24" s="0" t="s">
        <v>555</v>
      </c>
      <c r="F24" s="0" t="s">
        <v>555</v>
      </c>
      <c r="K24" s="0" t="s">
        <v>4</v>
      </c>
      <c r="L24" s="0" t="s">
        <v>557</v>
      </c>
    </row>
    <row r="25" customFormat="false" ht="15" hidden="false" customHeight="false" outlineLevel="0" collapsed="false">
      <c r="A25" s="0" t="s">
        <v>339</v>
      </c>
      <c r="B25" s="0" t="s">
        <v>555</v>
      </c>
      <c r="C25" s="0" t="s">
        <v>556</v>
      </c>
      <c r="D25" s="0" t="s">
        <v>207</v>
      </c>
      <c r="E25" s="0" t="s">
        <v>555</v>
      </c>
      <c r="F25" s="0" t="s">
        <v>555</v>
      </c>
      <c r="K25" s="0" t="s">
        <v>4</v>
      </c>
      <c r="L25" s="0" t="s">
        <v>557</v>
      </c>
    </row>
    <row r="26" customFormat="false" ht="15" hidden="false" customHeight="false" outlineLevel="0" collapsed="false">
      <c r="A26" s="0" t="s">
        <v>346</v>
      </c>
      <c r="B26" s="27" t="s">
        <v>554</v>
      </c>
      <c r="C26" s="0" t="s">
        <v>178</v>
      </c>
      <c r="D26" s="0" t="s">
        <v>354</v>
      </c>
      <c r="E26" s="0" t="s">
        <v>555</v>
      </c>
      <c r="F26" s="0" t="s">
        <v>555</v>
      </c>
      <c r="J26" s="0" t="n">
        <v>132</v>
      </c>
      <c r="K26" s="0" t="s">
        <v>4</v>
      </c>
    </row>
    <row r="27" customFormat="false" ht="15" hidden="false" customHeight="false" outlineLevel="0" collapsed="false">
      <c r="A27" s="0" t="s">
        <v>355</v>
      </c>
      <c r="B27" s="27" t="s">
        <v>554</v>
      </c>
      <c r="C27" s="0" t="s">
        <v>178</v>
      </c>
      <c r="D27" s="0" t="s">
        <v>363</v>
      </c>
      <c r="E27" s="0" t="s">
        <v>555</v>
      </c>
      <c r="F27" s="0" t="s">
        <v>555</v>
      </c>
      <c r="K27" s="0" t="s">
        <v>4</v>
      </c>
    </row>
    <row r="28" customFormat="false" ht="15" hidden="false" customHeight="false" outlineLevel="0" collapsed="false">
      <c r="A28" s="0" t="s">
        <v>364</v>
      </c>
      <c r="B28" s="27" t="s">
        <v>554</v>
      </c>
      <c r="C28" s="0" t="s">
        <v>178</v>
      </c>
      <c r="D28" s="0" t="s">
        <v>363</v>
      </c>
      <c r="E28" s="0" t="s">
        <v>555</v>
      </c>
      <c r="F28" s="0" t="s">
        <v>555</v>
      </c>
      <c r="K28" s="0" t="s">
        <v>4</v>
      </c>
    </row>
    <row r="29" customFormat="false" ht="15" hidden="false" customHeight="false" outlineLevel="0" collapsed="false">
      <c r="A29" s="0" t="s">
        <v>371</v>
      </c>
      <c r="B29" s="27" t="s">
        <v>554</v>
      </c>
      <c r="C29" s="0" t="s">
        <v>178</v>
      </c>
      <c r="D29" s="0" t="s">
        <v>378</v>
      </c>
      <c r="E29" s="0" t="s">
        <v>555</v>
      </c>
      <c r="F29" s="0" t="s">
        <v>555</v>
      </c>
      <c r="J29" s="0" t="n">
        <v>133</v>
      </c>
      <c r="K29" s="0" t="s">
        <v>4</v>
      </c>
    </row>
    <row r="30" customFormat="false" ht="15" hidden="false" customHeight="false" outlineLevel="0" collapsed="false">
      <c r="A30" s="0" t="s">
        <v>379</v>
      </c>
      <c r="B30" s="0" t="s">
        <v>555</v>
      </c>
      <c r="C30" s="0" t="s">
        <v>556</v>
      </c>
      <c r="D30" s="0" t="s">
        <v>386</v>
      </c>
      <c r="E30" s="0" t="s">
        <v>555</v>
      </c>
      <c r="F30" s="0" t="s">
        <v>555</v>
      </c>
      <c r="K30" s="0" t="s">
        <v>4</v>
      </c>
      <c r="L30" s="0" t="s">
        <v>557</v>
      </c>
    </row>
    <row r="31" customFormat="false" ht="15" hidden="false" customHeight="false" outlineLevel="0" collapsed="false">
      <c r="A31" s="0" t="s">
        <v>387</v>
      </c>
      <c r="B31" s="27" t="s">
        <v>554</v>
      </c>
      <c r="C31" s="0" t="s">
        <v>178</v>
      </c>
      <c r="D31" s="0" t="s">
        <v>394</v>
      </c>
      <c r="E31" s="0" t="s">
        <v>555</v>
      </c>
      <c r="F31" s="0" t="s">
        <v>555</v>
      </c>
      <c r="J31" s="0" t="n">
        <v>132</v>
      </c>
      <c r="K31" s="0" t="s">
        <v>4</v>
      </c>
    </row>
    <row r="32" customFormat="false" ht="15" hidden="false" customHeight="false" outlineLevel="0" collapsed="false">
      <c r="A32" s="0" t="s">
        <v>395</v>
      </c>
      <c r="B32" s="27" t="s">
        <v>554</v>
      </c>
      <c r="C32" s="0" t="s">
        <v>178</v>
      </c>
      <c r="D32" s="0" t="s">
        <v>207</v>
      </c>
      <c r="E32" s="0" t="s">
        <v>555</v>
      </c>
      <c r="F32" s="0" t="s">
        <v>555</v>
      </c>
      <c r="K32" s="0" t="s">
        <v>4</v>
      </c>
    </row>
    <row r="33" customFormat="false" ht="15" hidden="false" customHeight="false" outlineLevel="0" collapsed="false">
      <c r="A33" s="0" t="s">
        <v>402</v>
      </c>
      <c r="B33" s="27" t="s">
        <v>554</v>
      </c>
      <c r="C33" s="0" t="s">
        <v>178</v>
      </c>
      <c r="D33" s="0" t="s">
        <v>207</v>
      </c>
      <c r="E33" s="0" t="s">
        <v>555</v>
      </c>
      <c r="F33" s="0" t="s">
        <v>555</v>
      </c>
      <c r="K33" s="0" t="s">
        <v>4</v>
      </c>
    </row>
    <row r="34" customFormat="false" ht="15" hidden="false" customHeight="false" outlineLevel="0" collapsed="false">
      <c r="A34" s="0" t="s">
        <v>409</v>
      </c>
      <c r="B34" s="27" t="s">
        <v>554</v>
      </c>
      <c r="C34" s="0" t="s">
        <v>178</v>
      </c>
      <c r="D34" s="0" t="s">
        <v>207</v>
      </c>
      <c r="E34" s="0" t="s">
        <v>555</v>
      </c>
      <c r="F34" s="0" t="s">
        <v>555</v>
      </c>
      <c r="K34" s="0" t="s">
        <v>4</v>
      </c>
    </row>
    <row r="35" customFormat="false" ht="15" hidden="false" customHeight="false" outlineLevel="0" collapsed="false">
      <c r="A35" s="0" t="s">
        <v>416</v>
      </c>
      <c r="B35" s="27" t="s">
        <v>554</v>
      </c>
      <c r="C35" s="0" t="s">
        <v>178</v>
      </c>
      <c r="D35" s="0" t="s">
        <v>207</v>
      </c>
      <c r="E35" s="0" t="s">
        <v>555</v>
      </c>
      <c r="F35" s="0" t="s">
        <v>555</v>
      </c>
      <c r="K35" s="0" t="s">
        <v>4</v>
      </c>
    </row>
    <row r="36" customFormat="false" ht="15" hidden="false" customHeight="false" outlineLevel="0" collapsed="false">
      <c r="A36" s="0" t="s">
        <v>423</v>
      </c>
      <c r="B36" s="0" t="s">
        <v>555</v>
      </c>
      <c r="C36" s="0" t="s">
        <v>556</v>
      </c>
      <c r="D36" s="0" t="s">
        <v>207</v>
      </c>
      <c r="E36" s="0" t="s">
        <v>555</v>
      </c>
      <c r="F36" s="0" t="s">
        <v>555</v>
      </c>
      <c r="K36" s="0" t="s">
        <v>4</v>
      </c>
      <c r="L36" s="0" t="s">
        <v>557</v>
      </c>
    </row>
    <row r="37" customFormat="false" ht="15" hidden="false" customHeight="false" outlineLevel="0" collapsed="false">
      <c r="A37" s="0" t="s">
        <v>430</v>
      </c>
      <c r="B37" s="0" t="s">
        <v>555</v>
      </c>
      <c r="C37" s="0" t="s">
        <v>556</v>
      </c>
      <c r="D37" s="0" t="s">
        <v>207</v>
      </c>
      <c r="E37" s="0" t="s">
        <v>555</v>
      </c>
      <c r="F37" s="0" t="s">
        <v>555</v>
      </c>
      <c r="K37" s="0" t="s">
        <v>4</v>
      </c>
      <c r="L37" s="0" t="s">
        <v>557</v>
      </c>
    </row>
    <row r="38" customFormat="false" ht="15" hidden="false" customHeight="false" outlineLevel="0" collapsed="false">
      <c r="A38" s="0" t="s">
        <v>437</v>
      </c>
      <c r="B38" s="27" t="s">
        <v>554</v>
      </c>
      <c r="C38" s="0" t="s">
        <v>178</v>
      </c>
      <c r="D38" s="0" t="s">
        <v>207</v>
      </c>
      <c r="E38" s="0" t="s">
        <v>555</v>
      </c>
      <c r="F38" s="0" t="s">
        <v>555</v>
      </c>
      <c r="K38" s="0" t="s">
        <v>4</v>
      </c>
    </row>
    <row r="39" customFormat="false" ht="15" hidden="false" customHeight="false" outlineLevel="0" collapsed="false">
      <c r="A39" s="0" t="s">
        <v>444</v>
      </c>
      <c r="B39" s="27" t="s">
        <v>554</v>
      </c>
      <c r="C39" s="0" t="s">
        <v>178</v>
      </c>
      <c r="D39" s="0" t="s">
        <v>451</v>
      </c>
      <c r="E39" s="0" t="s">
        <v>555</v>
      </c>
      <c r="F39" s="0" t="s">
        <v>555</v>
      </c>
      <c r="J39" s="0" t="n">
        <v>133</v>
      </c>
      <c r="K39" s="0" t="s">
        <v>4</v>
      </c>
    </row>
    <row r="40" customFormat="false" ht="15" hidden="false" customHeight="false" outlineLevel="0" collapsed="false">
      <c r="A40" s="0" t="s">
        <v>452</v>
      </c>
      <c r="B40" s="27" t="s">
        <v>554</v>
      </c>
      <c r="C40" s="0" t="s">
        <v>178</v>
      </c>
      <c r="D40" s="0" t="s">
        <v>458</v>
      </c>
      <c r="E40" s="0" t="s">
        <v>555</v>
      </c>
      <c r="F40" s="0" t="s">
        <v>555</v>
      </c>
      <c r="J40" s="0" t="n">
        <v>132</v>
      </c>
      <c r="K40" s="0" t="s">
        <v>4</v>
      </c>
    </row>
    <row r="41" customFormat="false" ht="15" hidden="false" customHeight="false" outlineLevel="0" collapsed="false">
      <c r="A41" s="0" t="s">
        <v>459</v>
      </c>
      <c r="B41" s="27" t="s">
        <v>554</v>
      </c>
      <c r="C41" s="0" t="s">
        <v>178</v>
      </c>
      <c r="D41" s="0" t="s">
        <v>207</v>
      </c>
      <c r="E41" s="0" t="s">
        <v>555</v>
      </c>
      <c r="F41" s="0" t="s">
        <v>555</v>
      </c>
      <c r="K41" s="0" t="s">
        <v>4</v>
      </c>
    </row>
    <row r="42" customFormat="false" ht="15" hidden="false" customHeight="false" outlineLevel="0" collapsed="false">
      <c r="A42" s="0" t="s">
        <v>466</v>
      </c>
      <c r="B42" s="27" t="s">
        <v>554</v>
      </c>
      <c r="C42" s="0" t="s">
        <v>178</v>
      </c>
      <c r="D42" s="0" t="s">
        <v>207</v>
      </c>
      <c r="E42" s="0" t="s">
        <v>555</v>
      </c>
      <c r="F42" s="0" t="s">
        <v>555</v>
      </c>
      <c r="K42" s="0" t="s">
        <v>4</v>
      </c>
    </row>
  </sheetData>
  <autoFilter ref="A1:L2"/>
  <conditionalFormatting sqref="G2:G500">
    <cfRule type="cellIs" priority="2" operator="lessThanOrEqual" aboveAverage="0" equalAverage="0" bottom="0" percent="0" rank="0" text="" dxfId="10">
      <formula>2.5</formula>
    </cfRule>
    <cfRule type="cellIs" priority="3" operator="between" aboveAverage="0" equalAverage="0" bottom="0" percent="0" rank="0" text="" dxfId="12">
      <formula>2.51</formula>
      <formula>4</formula>
    </cfRule>
    <cfRule type="cellIs" priority="4" operator="greaterThan" aboveAverage="0" equalAverage="0" bottom="0" percent="0" rank="0" text="" dxfId="11">
      <formula>4</formula>
    </cfRule>
  </conditionalFormatting>
  <conditionalFormatting sqref="H2:H500">
    <cfRule type="cellIs" priority="5" operator="lessThanOrEqual" aboveAverage="0" equalAverage="0" bottom="0" percent="0" rank="0" text="" dxfId="10">
      <formula>200</formula>
    </cfRule>
    <cfRule type="cellIs" priority="6" operator="between" aboveAverage="0" equalAverage="0" bottom="0" percent="0" rank="0" text="" dxfId="12">
      <formula>201</formula>
      <formula>500</formula>
    </cfRule>
    <cfRule type="cellIs" priority="7" operator="greaterThan" aboveAverage="0" equalAverage="0" bottom="0" percent="0" rank="0" text="" dxfId="11">
      <formula>500</formula>
    </cfRule>
  </conditionalFormatting>
  <conditionalFormatting sqref="I2:I500">
    <cfRule type="cellIs" priority="8" operator="lessThanOrEqual" aboveAverage="0" equalAverage="0" bottom="0" percent="0" rank="0" text="" dxfId="10">
      <formula>0.1</formula>
    </cfRule>
    <cfRule type="cellIs" priority="9" operator="between" aboveAverage="0" equalAverage="0" bottom="0" percent="0" rank="0" text="" dxfId="12">
      <formula>0.11</formula>
      <formula>0.25</formula>
    </cfRule>
    <cfRule type="cellIs" priority="10" operator="greaterThan" aboveAverage="0" equalAverage="0" bottom="0" percent="0" rank="0" text="" dxfId="11">
      <formula>0.25</formula>
    </cfRule>
  </conditionalFormatting>
  <conditionalFormatting sqref="J2:J500">
    <cfRule type="cellIs" priority="11" operator="equal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55"/>
    <col collapsed="false" customWidth="true" hidden="false" outlineLevel="0" max="4" min="3" style="0" width="4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21" t="s">
        <v>558</v>
      </c>
      <c r="B1" s="21" t="s">
        <v>559</v>
      </c>
      <c r="C1" s="21" t="s">
        <v>560</v>
      </c>
      <c r="D1" s="21" t="s">
        <v>561</v>
      </c>
      <c r="E1" s="21" t="s">
        <v>562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0"/>
  </cols>
  <sheetData>
    <row r="1" customFormat="false" ht="113.4" hidden="false" customHeight="false" outlineLevel="0" collapsed="false">
      <c r="A1" s="21" t="s">
        <v>151</v>
      </c>
      <c r="B1" s="21" t="s">
        <v>563</v>
      </c>
      <c r="C1" s="21" t="s">
        <v>564</v>
      </c>
      <c r="D1" s="21" t="s">
        <v>565</v>
      </c>
      <c r="E1" s="21" t="s">
        <v>566</v>
      </c>
      <c r="F1" s="21" t="s">
        <v>567</v>
      </c>
      <c r="G1" s="21" t="s">
        <v>568</v>
      </c>
      <c r="H1" s="21" t="s">
        <v>569</v>
      </c>
      <c r="I1" s="21" t="s">
        <v>570</v>
      </c>
    </row>
    <row r="2" customFormat="false" ht="15" hidden="false" customHeight="false" outlineLevel="0" collapsed="false">
      <c r="A2" s="0" t="s">
        <v>175</v>
      </c>
      <c r="B2" s="33" t="n">
        <v>1571</v>
      </c>
      <c r="C2" s="0" t="n">
        <v>16349</v>
      </c>
      <c r="D2" s="34" t="n">
        <f aca="false">IF(C2&gt;0,B2/C2,0)</f>
        <v>0.0960915040675271</v>
      </c>
      <c r="E2" s="0" t="n">
        <v>24.9</v>
      </c>
      <c r="H2" s="34" t="str">
        <f aca="false">IFERROR(G2/F2,"")</f>
        <v/>
      </c>
    </row>
    <row r="3" customFormat="false" ht="15" hidden="false" customHeight="false" outlineLevel="0" collapsed="false">
      <c r="A3" s="0" t="s">
        <v>571</v>
      </c>
      <c r="B3" s="33" t="n">
        <v>523</v>
      </c>
      <c r="C3" s="0" t="n">
        <v>6279</v>
      </c>
      <c r="D3" s="0" t="n">
        <f aca="false">IF(C3&gt;0,B3/C3,0)</f>
        <v>0.0832935180761268</v>
      </c>
      <c r="E3" s="0" t="n">
        <v>4.6</v>
      </c>
    </row>
    <row r="4" customFormat="false" ht="15" hidden="false" customHeight="false" outlineLevel="0" collapsed="false">
      <c r="A4" s="0" t="s">
        <v>206</v>
      </c>
      <c r="B4" s="33" t="n">
        <v>199</v>
      </c>
      <c r="C4" s="0" t="n">
        <v>7270</v>
      </c>
      <c r="D4" s="0" t="n">
        <f aca="false">IF(C4&gt;0,B4/C4,0)</f>
        <v>0.027372764786795</v>
      </c>
      <c r="E4" s="0" t="n">
        <v>19</v>
      </c>
    </row>
    <row r="5" customFormat="false" ht="15" hidden="false" customHeight="false" outlineLevel="0" collapsed="false">
      <c r="A5" s="0" t="s">
        <v>572</v>
      </c>
      <c r="B5" s="33" t="n">
        <v>116</v>
      </c>
      <c r="C5" s="0" t="n">
        <v>1364</v>
      </c>
      <c r="D5" s="0" t="n">
        <f aca="false">IF(C5&gt;0,B5/C5,0)</f>
        <v>0.0850439882697947</v>
      </c>
      <c r="E5" s="0" t="n">
        <v>4</v>
      </c>
    </row>
    <row r="6" customFormat="false" ht="15" hidden="false" customHeight="false" outlineLevel="0" collapsed="false">
      <c r="A6" s="0" t="s">
        <v>573</v>
      </c>
      <c r="B6" s="0" t="n">
        <v>61</v>
      </c>
      <c r="C6" s="0" t="n">
        <v>3593</v>
      </c>
      <c r="D6" s="0" t="n">
        <f aca="false">IF(C6&gt;0,B6/C6,0)</f>
        <v>0.0169774561647648</v>
      </c>
      <c r="E6" s="0" t="n">
        <v>4.2</v>
      </c>
    </row>
    <row r="7" customFormat="false" ht="15" hidden="false" customHeight="false" outlineLevel="0" collapsed="false">
      <c r="A7" s="0" t="s">
        <v>574</v>
      </c>
      <c r="B7" s="0" t="n">
        <v>37</v>
      </c>
      <c r="C7" s="0" t="n">
        <v>4550</v>
      </c>
      <c r="D7" s="0" t="n">
        <f aca="false">IF(C7&gt;0,B7/C7,0)</f>
        <v>0.00813186813186813</v>
      </c>
      <c r="E7" s="0" t="n">
        <v>3.2</v>
      </c>
    </row>
    <row r="8" customFormat="false" ht="15" hidden="false" customHeight="false" outlineLevel="0" collapsed="false">
      <c r="A8" s="0" t="s">
        <v>198</v>
      </c>
      <c r="B8" s="0" t="n">
        <v>29</v>
      </c>
      <c r="C8" s="0" t="n">
        <v>3802</v>
      </c>
      <c r="D8" s="0" t="n">
        <f aca="false">IF(C8&gt;0,B8/C8,0)</f>
        <v>0.00762756443976854</v>
      </c>
      <c r="E8" s="0" t="n">
        <v>3.3</v>
      </c>
    </row>
    <row r="9" customFormat="false" ht="15" hidden="false" customHeight="false" outlineLevel="0" collapsed="false">
      <c r="A9" s="0" t="s">
        <v>271</v>
      </c>
      <c r="B9" s="0" t="n">
        <v>26</v>
      </c>
      <c r="C9" s="0" t="n">
        <v>2965</v>
      </c>
      <c r="D9" s="0" t="n">
        <f aca="false">IF(C9&gt;0,B9/C9,0)</f>
        <v>0.00876897133220911</v>
      </c>
      <c r="E9" s="0" t="n">
        <v>2.9</v>
      </c>
    </row>
    <row r="10" customFormat="false" ht="15" hidden="false" customHeight="false" outlineLevel="0" collapsed="false">
      <c r="A10" s="0" t="s">
        <v>575</v>
      </c>
      <c r="B10" s="0" t="n">
        <v>24</v>
      </c>
      <c r="C10" s="0" t="n">
        <v>316</v>
      </c>
      <c r="D10" s="0" t="n">
        <f aca="false">IF(C10&gt;0,B10/C10,0)</f>
        <v>0.0759493670886076</v>
      </c>
      <c r="E10" s="0" t="n">
        <v>3.5</v>
      </c>
    </row>
    <row r="11" customFormat="false" ht="15" hidden="false" customHeight="false" outlineLevel="0" collapsed="false">
      <c r="A11" s="0" t="s">
        <v>422</v>
      </c>
      <c r="B11" s="0" t="n">
        <v>17</v>
      </c>
      <c r="C11" s="0" t="n">
        <v>767</v>
      </c>
      <c r="D11" s="0" t="n">
        <f aca="false">IF(C11&gt;0,B11/C11,0)</f>
        <v>0.0221642764015645</v>
      </c>
      <c r="E11" s="0" t="n">
        <v>13.8</v>
      </c>
    </row>
    <row r="12" customFormat="false" ht="15" hidden="false" customHeight="false" outlineLevel="0" collapsed="false">
      <c r="A12" s="0" t="s">
        <v>576</v>
      </c>
      <c r="B12" s="0" t="n">
        <v>7</v>
      </c>
      <c r="C12" s="0" t="n">
        <v>1270</v>
      </c>
      <c r="D12" s="0" t="n">
        <f aca="false">IF(C12&gt;0,B12/C12,0)</f>
        <v>0.00551181102362205</v>
      </c>
      <c r="E12" s="0" t="n">
        <v>6.2</v>
      </c>
    </row>
    <row r="13" customFormat="false" ht="15" hidden="false" customHeight="false" outlineLevel="0" collapsed="false">
      <c r="A13" s="0" t="s">
        <v>472</v>
      </c>
      <c r="B13" s="0" t="n">
        <v>7</v>
      </c>
      <c r="C13" s="0" t="n">
        <v>1113</v>
      </c>
      <c r="D13" s="0" t="n">
        <f aca="false">IF(C13&gt;0,B13/C13,0)</f>
        <v>0.00628930817610063</v>
      </c>
      <c r="E13" s="0" t="n">
        <v>26.1</v>
      </c>
    </row>
    <row r="14" customFormat="false" ht="15" hidden="false" customHeight="false" outlineLevel="0" collapsed="false">
      <c r="A14" s="0" t="s">
        <v>577</v>
      </c>
      <c r="B14" s="0" t="n">
        <v>5</v>
      </c>
      <c r="C14" s="0" t="n">
        <v>1829</v>
      </c>
      <c r="D14" s="0" t="n">
        <f aca="false">IF(C14&gt;0,B14/C14,0)</f>
        <v>0.00273373428102788</v>
      </c>
      <c r="E14" s="0" t="n">
        <v>49.5</v>
      </c>
    </row>
    <row r="15" customFormat="false" ht="15" hidden="false" customHeight="false" outlineLevel="0" collapsed="false">
      <c r="A15" s="0" t="s">
        <v>578</v>
      </c>
      <c r="B15" s="0" t="n">
        <v>5</v>
      </c>
      <c r="C15" s="0" t="n">
        <v>1327</v>
      </c>
      <c r="D15" s="0" t="n">
        <f aca="false">IF(C15&gt;0,B15/C15,0)</f>
        <v>0.00376789751318764</v>
      </c>
      <c r="E15" s="0" t="n">
        <v>7.7</v>
      </c>
    </row>
    <row r="16" customFormat="false" ht="15" hidden="false" customHeight="false" outlineLevel="0" collapsed="false">
      <c r="A16" s="0" t="s">
        <v>303</v>
      </c>
      <c r="B16" s="0" t="n">
        <v>5</v>
      </c>
      <c r="C16" s="0" t="n">
        <v>1082</v>
      </c>
      <c r="D16" s="0" t="n">
        <f aca="false">IF(C16&gt;0,B16/C16,0)</f>
        <v>0.00462107208872458</v>
      </c>
      <c r="E16" s="0" t="n">
        <v>10.6</v>
      </c>
    </row>
    <row r="17" customFormat="false" ht="15" hidden="false" customHeight="false" outlineLevel="0" collapsed="false">
      <c r="A17" s="0" t="s">
        <v>415</v>
      </c>
      <c r="B17" s="0" t="n">
        <v>4</v>
      </c>
      <c r="C17" s="0" t="n">
        <v>868</v>
      </c>
      <c r="D17" s="0" t="n">
        <f aca="false">IF(C17&gt;0,B17/C17,0)</f>
        <v>0.00460829493087558</v>
      </c>
      <c r="E17" s="0" t="n">
        <v>29.5</v>
      </c>
    </row>
    <row r="18" customFormat="false" ht="15" hidden="false" customHeight="false" outlineLevel="0" collapsed="false">
      <c r="A18" s="0" t="s">
        <v>579</v>
      </c>
      <c r="B18" s="0" t="n">
        <v>4</v>
      </c>
      <c r="C18" s="0" t="n">
        <v>103</v>
      </c>
      <c r="D18" s="0" t="n">
        <f aca="false">IF(C18&gt;0,B18/C18,0)</f>
        <v>0.0388349514563107</v>
      </c>
      <c r="E18" s="0" t="n">
        <v>28.8</v>
      </c>
    </row>
    <row r="19" customFormat="false" ht="15" hidden="false" customHeight="false" outlineLevel="0" collapsed="false">
      <c r="A19" s="0" t="s">
        <v>250</v>
      </c>
      <c r="B19" s="0" t="n">
        <v>3</v>
      </c>
      <c r="C19" s="0" t="n">
        <v>10897</v>
      </c>
      <c r="D19" s="0" t="n">
        <f aca="false">IF(C19&gt;0,B19/C19,0)</f>
        <v>0.000275305129852253</v>
      </c>
      <c r="E19" s="0" t="n">
        <v>66.7</v>
      </c>
    </row>
    <row r="20" customFormat="false" ht="15" hidden="false" customHeight="false" outlineLevel="0" collapsed="false">
      <c r="A20" s="0" t="s">
        <v>580</v>
      </c>
      <c r="B20" s="0" t="n">
        <v>3</v>
      </c>
      <c r="C20" s="0" t="n">
        <v>1660</v>
      </c>
      <c r="D20" s="0" t="n">
        <f aca="false">IF(C20&gt;0,B20/C20,0)</f>
        <v>0.00180722891566265</v>
      </c>
      <c r="E20" s="0" t="n">
        <v>31.8</v>
      </c>
    </row>
    <row r="21" customFormat="false" ht="15" hidden="false" customHeight="false" outlineLevel="0" collapsed="false">
      <c r="A21" s="0" t="s">
        <v>581</v>
      </c>
      <c r="B21" s="0" t="n">
        <v>3</v>
      </c>
      <c r="C21" s="0" t="n">
        <v>469</v>
      </c>
      <c r="D21" s="0" t="n">
        <f aca="false">IF(C21&gt;0,B21/C21,0)</f>
        <v>0.00639658848614073</v>
      </c>
      <c r="E21" s="0" t="n">
        <v>49</v>
      </c>
    </row>
    <row r="22" customFormat="false" ht="15" hidden="false" customHeight="false" outlineLevel="0" collapsed="false">
      <c r="A22" s="0" t="s">
        <v>184</v>
      </c>
      <c r="B22" s="0" t="n">
        <v>2</v>
      </c>
      <c r="C22" s="0" t="n">
        <v>1152</v>
      </c>
      <c r="D22" s="0" t="n">
        <f aca="false">IF(C22&gt;0,B22/C22,0)</f>
        <v>0.00173611111111111</v>
      </c>
      <c r="E22" s="0" t="n">
        <v>5.9</v>
      </c>
    </row>
    <row r="23" customFormat="false" ht="15" hidden="false" customHeight="false" outlineLevel="0" collapsed="false">
      <c r="A23" s="0" t="s">
        <v>324</v>
      </c>
      <c r="B23" s="0" t="n">
        <v>2</v>
      </c>
      <c r="C23" s="0" t="n">
        <v>777</v>
      </c>
      <c r="D23" s="0" t="n">
        <f aca="false">IF(C23&gt;0,B23/C23,0)</f>
        <v>0.00257400257400257</v>
      </c>
      <c r="E23" s="0" t="n">
        <v>28.4</v>
      </c>
    </row>
    <row r="24" customFormat="false" ht="15" hidden="false" customHeight="false" outlineLevel="0" collapsed="false">
      <c r="A24" s="0" t="s">
        <v>310</v>
      </c>
      <c r="B24" s="0" t="n">
        <v>2</v>
      </c>
      <c r="C24" s="0" t="n">
        <v>726</v>
      </c>
      <c r="D24" s="0" t="n">
        <f aca="false">IF(C24&gt;0,B24/C24,0)</f>
        <v>0.00275482093663912</v>
      </c>
      <c r="E24" s="0" t="n">
        <v>12.8</v>
      </c>
    </row>
    <row r="25" customFormat="false" ht="15" hidden="false" customHeight="false" outlineLevel="0" collapsed="false">
      <c r="A25" s="0" t="s">
        <v>443</v>
      </c>
      <c r="B25" s="0" t="n">
        <v>2</v>
      </c>
      <c r="C25" s="0" t="n">
        <v>667</v>
      </c>
      <c r="D25" s="0" t="n">
        <f aca="false">IF(C25&gt;0,B25/C25,0)</f>
        <v>0.00299850074962519</v>
      </c>
      <c r="E25" s="0" t="n">
        <v>16.6</v>
      </c>
    </row>
    <row r="26" customFormat="false" ht="15" hidden="false" customHeight="false" outlineLevel="0" collapsed="false">
      <c r="A26" s="0" t="s">
        <v>582</v>
      </c>
      <c r="B26" s="0" t="n">
        <v>2</v>
      </c>
      <c r="C26" s="0" t="n">
        <v>591</v>
      </c>
      <c r="D26" s="0" t="n">
        <f aca="false">IF(C26&gt;0,B26/C26,0)</f>
        <v>0.00338409475465313</v>
      </c>
      <c r="E26" s="0" t="n">
        <v>22.4</v>
      </c>
    </row>
    <row r="27" customFormat="false" ht="15" hidden="false" customHeight="false" outlineLevel="0" collapsed="false">
      <c r="A27" s="0" t="s">
        <v>583</v>
      </c>
      <c r="B27" s="0" t="n">
        <v>2</v>
      </c>
      <c r="C27" s="0" t="n">
        <v>461</v>
      </c>
      <c r="D27" s="0" t="n">
        <f aca="false">IF(C27&gt;0,B27/C27,0)</f>
        <v>0.00433839479392625</v>
      </c>
      <c r="E27" s="0" t="n">
        <v>37.5</v>
      </c>
    </row>
    <row r="28" customFormat="false" ht="15" hidden="false" customHeight="false" outlineLevel="0" collapsed="false">
      <c r="A28" s="35" t="s">
        <v>370</v>
      </c>
      <c r="B28" s="0" t="n">
        <v>0</v>
      </c>
      <c r="C28" s="0" t="n">
        <v>5682</v>
      </c>
      <c r="D28" s="35" t="n">
        <f aca="false">IF(C28&gt;0,B28/C28,0)</f>
        <v>0</v>
      </c>
      <c r="E28" s="36" t="n">
        <v>13.7</v>
      </c>
    </row>
    <row r="29" customFormat="false" ht="15" hidden="false" customHeight="false" outlineLevel="0" collapsed="false">
      <c r="A29" s="35" t="s">
        <v>584</v>
      </c>
      <c r="B29" s="0" t="n">
        <v>0</v>
      </c>
      <c r="C29" s="0" t="n">
        <v>3153</v>
      </c>
      <c r="D29" s="35" t="n">
        <f aca="false">IF(C29&gt;0,B29/C29,0)</f>
        <v>0</v>
      </c>
      <c r="E29" s="36" t="n">
        <v>46.6</v>
      </c>
    </row>
    <row r="30" customFormat="false" ht="15" hidden="false" customHeight="false" outlineLevel="0" collapsed="false">
      <c r="A30" s="35" t="s">
        <v>585</v>
      </c>
      <c r="B30" s="0" t="n">
        <v>0</v>
      </c>
      <c r="C30" s="0" t="n">
        <v>2458</v>
      </c>
      <c r="D30" s="35" t="n">
        <f aca="false">IF(C30&gt;0,B30/C30,0)</f>
        <v>0</v>
      </c>
      <c r="E30" s="36" t="n">
        <v>11.3</v>
      </c>
    </row>
    <row r="31" customFormat="false" ht="15" hidden="false" customHeight="false" outlineLevel="0" collapsed="false">
      <c r="A31" s="35" t="s">
        <v>586</v>
      </c>
      <c r="B31" s="0" t="n">
        <v>0</v>
      </c>
      <c r="C31" s="0" t="n">
        <v>2335</v>
      </c>
      <c r="D31" s="35" t="n">
        <f aca="false">IF(C31&gt;0,B31/C31,0)</f>
        <v>0</v>
      </c>
      <c r="E31" s="36" t="n">
        <v>51.5</v>
      </c>
    </row>
    <row r="32" customFormat="false" ht="15" hidden="false" customHeight="false" outlineLevel="0" collapsed="false">
      <c r="A32" s="35" t="s">
        <v>257</v>
      </c>
      <c r="B32" s="0" t="n">
        <v>0</v>
      </c>
      <c r="C32" s="0" t="n">
        <v>1587</v>
      </c>
      <c r="D32" s="35" t="n">
        <f aca="false">IF(C32&gt;0,B32/C32,0)</f>
        <v>0</v>
      </c>
      <c r="E32" s="36" t="n">
        <v>60.4</v>
      </c>
    </row>
  </sheetData>
  <autoFilter ref="A1:I2"/>
  <conditionalFormatting sqref="E2:E500">
    <cfRule type="cellIs" priority="2" operator="between" aboveAverage="0" equalAverage="0" bottom="0" percent="0" rank="0" text="" dxfId="10">
      <formula>1</formula>
      <formula>3</formula>
    </cfRule>
    <cfRule type="cellIs" priority="3" operator="between" aboveAverage="0" equalAverage="0" bottom="0" percent="0" rank="0" text="" dxfId="12">
      <formula>3.01</formula>
      <formula>10</formula>
    </cfRule>
    <cfRule type="cellIs" priority="4" operator="greaterThan" aboveAverage="0" equalAverage="0" bottom="0" percent="0" rank="0" text="" dxfId="11">
      <formula>10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23.85" hidden="false" customHeight="false" outlineLevel="0" collapsed="false">
      <c r="A1" s="21" t="s">
        <v>587</v>
      </c>
      <c r="B1" s="21" t="s">
        <v>559</v>
      </c>
      <c r="C1" s="21" t="s">
        <v>588</v>
      </c>
      <c r="D1" s="21" t="s">
        <v>589</v>
      </c>
      <c r="E1" s="21" t="s">
        <v>590</v>
      </c>
      <c r="F1" s="21" t="s">
        <v>591</v>
      </c>
      <c r="G1" s="21" t="s">
        <v>167</v>
      </c>
      <c r="H1" s="21" t="s">
        <v>592</v>
      </c>
      <c r="I1" s="21" t="s">
        <v>593</v>
      </c>
    </row>
    <row r="2" customFormat="false" ht="15" hidden="false" customHeight="false" outlineLevel="0" collapsed="false">
      <c r="A2" s="0" t="s">
        <v>594</v>
      </c>
      <c r="B2" s="0" t="s">
        <v>595</v>
      </c>
      <c r="D2" s="0" t="n">
        <v>95</v>
      </c>
      <c r="E2" s="32" t="s">
        <v>596</v>
      </c>
      <c r="H2" s="28" t="s">
        <v>597</v>
      </c>
    </row>
    <row r="3" customFormat="false" ht="15" hidden="false" customHeight="false" outlineLevel="0" collapsed="false">
      <c r="A3" s="0" t="s">
        <v>598</v>
      </c>
      <c r="B3" s="0" t="s">
        <v>595</v>
      </c>
      <c r="D3" s="0" t="n">
        <v>95</v>
      </c>
      <c r="E3" s="30" t="s">
        <v>599</v>
      </c>
      <c r="H3" s="28" t="s">
        <v>597</v>
      </c>
    </row>
    <row r="4" customFormat="false" ht="15" hidden="false" customHeight="false" outlineLevel="0" collapsed="false">
      <c r="A4" s="0" t="s">
        <v>600</v>
      </c>
      <c r="B4" s="0" t="s">
        <v>595</v>
      </c>
      <c r="D4" s="0" t="n">
        <v>95</v>
      </c>
      <c r="E4" s="30" t="s">
        <v>599</v>
      </c>
      <c r="H4" s="28" t="s">
        <v>597</v>
      </c>
    </row>
    <row r="5" customFormat="false" ht="15" hidden="false" customHeight="false" outlineLevel="0" collapsed="false">
      <c r="A5" s="0" t="s">
        <v>601</v>
      </c>
      <c r="B5" s="0" t="s">
        <v>595</v>
      </c>
      <c r="D5" s="0" t="n">
        <v>94</v>
      </c>
      <c r="E5" s="30" t="s">
        <v>599</v>
      </c>
      <c r="H5" s="28" t="s">
        <v>597</v>
      </c>
    </row>
    <row r="6" customFormat="false" ht="15" hidden="false" customHeight="false" outlineLevel="0" collapsed="false">
      <c r="A6" s="0" t="s">
        <v>602</v>
      </c>
      <c r="B6" s="0" t="s">
        <v>595</v>
      </c>
      <c r="D6" s="0" t="n">
        <v>93</v>
      </c>
      <c r="E6" s="32" t="s">
        <v>596</v>
      </c>
      <c r="H6" s="28" t="s">
        <v>597</v>
      </c>
    </row>
    <row r="7" customFormat="false" ht="15" hidden="false" customHeight="false" outlineLevel="0" collapsed="false">
      <c r="A7" s="0" t="s">
        <v>603</v>
      </c>
      <c r="B7" s="0" t="s">
        <v>595</v>
      </c>
      <c r="D7" s="0" t="n">
        <v>92</v>
      </c>
      <c r="E7" s="30" t="s">
        <v>599</v>
      </c>
      <c r="H7" s="28" t="s">
        <v>597</v>
      </c>
    </row>
    <row r="8" customFormat="false" ht="15" hidden="false" customHeight="false" outlineLevel="0" collapsed="false">
      <c r="A8" s="0" t="s">
        <v>604</v>
      </c>
      <c r="B8" s="0" t="s">
        <v>595</v>
      </c>
      <c r="D8" s="0" t="n">
        <v>91</v>
      </c>
      <c r="E8" s="32" t="s">
        <v>596</v>
      </c>
      <c r="H8" s="28" t="s">
        <v>597</v>
      </c>
    </row>
    <row r="9" customFormat="false" ht="15" hidden="false" customHeight="false" outlineLevel="0" collapsed="false">
      <c r="A9" s="0" t="s">
        <v>605</v>
      </c>
      <c r="B9" s="0" t="s">
        <v>595</v>
      </c>
      <c r="D9" s="0" t="n">
        <v>91</v>
      </c>
      <c r="E9" s="30" t="s">
        <v>599</v>
      </c>
      <c r="H9" s="28" t="s">
        <v>597</v>
      </c>
    </row>
    <row r="10" customFormat="false" ht="15" hidden="false" customHeight="false" outlineLevel="0" collapsed="false">
      <c r="A10" s="0" t="s">
        <v>606</v>
      </c>
      <c r="B10" s="0" t="s">
        <v>595</v>
      </c>
      <c r="D10" s="0" t="n">
        <v>91</v>
      </c>
      <c r="E10" s="30" t="s">
        <v>599</v>
      </c>
      <c r="H10" s="28" t="s">
        <v>597</v>
      </c>
    </row>
    <row r="11" customFormat="false" ht="15" hidden="false" customHeight="false" outlineLevel="0" collapsed="false">
      <c r="A11" s="0" t="s">
        <v>607</v>
      </c>
      <c r="B11" s="0" t="s">
        <v>595</v>
      </c>
      <c r="D11" s="0" t="n">
        <v>91</v>
      </c>
      <c r="E11" s="32" t="s">
        <v>596</v>
      </c>
      <c r="H11" s="28" t="s">
        <v>597</v>
      </c>
    </row>
    <row r="12" customFormat="false" ht="15" hidden="false" customHeight="false" outlineLevel="0" collapsed="false">
      <c r="A12" s="0" t="s">
        <v>608</v>
      </c>
      <c r="B12" s="0" t="s">
        <v>595</v>
      </c>
      <c r="D12" s="0" t="n">
        <v>91</v>
      </c>
      <c r="E12" s="30" t="s">
        <v>599</v>
      </c>
      <c r="H12" s="28" t="s">
        <v>597</v>
      </c>
    </row>
    <row r="13" customFormat="false" ht="15" hidden="false" customHeight="false" outlineLevel="0" collapsed="false">
      <c r="A13" s="0" t="s">
        <v>609</v>
      </c>
      <c r="B13" s="0" t="s">
        <v>595</v>
      </c>
      <c r="D13" s="0" t="n">
        <v>90</v>
      </c>
      <c r="E13" s="32" t="s">
        <v>596</v>
      </c>
      <c r="H13" s="28" t="s">
        <v>597</v>
      </c>
    </row>
    <row r="14" customFormat="false" ht="15" hidden="false" customHeight="false" outlineLevel="0" collapsed="false">
      <c r="A14" s="0" t="s">
        <v>610</v>
      </c>
      <c r="B14" s="0" t="s">
        <v>595</v>
      </c>
      <c r="D14" s="0" t="n">
        <v>90</v>
      </c>
      <c r="E14" s="30" t="s">
        <v>599</v>
      </c>
      <c r="H14" s="28" t="s">
        <v>597</v>
      </c>
    </row>
    <row r="15" customFormat="false" ht="15" hidden="false" customHeight="false" outlineLevel="0" collapsed="false">
      <c r="A15" s="0" t="s">
        <v>611</v>
      </c>
      <c r="B15" s="0" t="s">
        <v>595</v>
      </c>
      <c r="D15" s="0" t="n">
        <v>90</v>
      </c>
      <c r="E15" s="30" t="s">
        <v>599</v>
      </c>
      <c r="H15" s="28" t="s">
        <v>597</v>
      </c>
    </row>
    <row r="16" customFormat="false" ht="15" hidden="false" customHeight="false" outlineLevel="0" collapsed="false">
      <c r="A16" s="0" t="s">
        <v>612</v>
      </c>
      <c r="B16" s="0" t="s">
        <v>595</v>
      </c>
      <c r="D16" s="0" t="n">
        <v>89</v>
      </c>
      <c r="E16" s="30" t="s">
        <v>599</v>
      </c>
      <c r="H16" s="28" t="s">
        <v>597</v>
      </c>
    </row>
    <row r="17" customFormat="false" ht="15" hidden="false" customHeight="false" outlineLevel="0" collapsed="false">
      <c r="A17" s="0" t="s">
        <v>613</v>
      </c>
      <c r="B17" s="0" t="s">
        <v>595</v>
      </c>
      <c r="D17" s="0" t="n">
        <v>88</v>
      </c>
      <c r="E17" s="30" t="s">
        <v>599</v>
      </c>
      <c r="H17" s="28" t="s">
        <v>597</v>
      </c>
    </row>
    <row r="18" customFormat="false" ht="15" hidden="false" customHeight="false" outlineLevel="0" collapsed="false">
      <c r="A18" s="0" t="s">
        <v>614</v>
      </c>
      <c r="B18" s="0" t="s">
        <v>595</v>
      </c>
      <c r="D18" s="0" t="n">
        <v>88</v>
      </c>
      <c r="E18" s="30" t="s">
        <v>599</v>
      </c>
      <c r="H18" s="28" t="s">
        <v>597</v>
      </c>
    </row>
    <row r="19" customFormat="false" ht="15" hidden="false" customHeight="false" outlineLevel="0" collapsed="false">
      <c r="A19" s="0" t="s">
        <v>615</v>
      </c>
      <c r="B19" s="0" t="s">
        <v>595</v>
      </c>
      <c r="D19" s="0" t="n">
        <v>86</v>
      </c>
      <c r="E19" s="32" t="s">
        <v>596</v>
      </c>
      <c r="H19" s="28" t="s">
        <v>597</v>
      </c>
    </row>
    <row r="20" customFormat="false" ht="15" hidden="false" customHeight="false" outlineLevel="0" collapsed="false">
      <c r="A20" s="0" t="s">
        <v>616</v>
      </c>
      <c r="B20" s="0" t="s">
        <v>595</v>
      </c>
      <c r="D20" s="0" t="n">
        <v>85</v>
      </c>
      <c r="E20" s="30" t="s">
        <v>599</v>
      </c>
      <c r="H20" s="28" t="s">
        <v>597</v>
      </c>
    </row>
    <row r="21" customFormat="false" ht="15" hidden="false" customHeight="false" outlineLevel="0" collapsed="false">
      <c r="A21" s="0" t="s">
        <v>617</v>
      </c>
      <c r="B21" s="0" t="s">
        <v>595</v>
      </c>
      <c r="D21" s="0" t="n">
        <v>85</v>
      </c>
      <c r="E21" s="30" t="s">
        <v>599</v>
      </c>
      <c r="H21" s="28" t="s">
        <v>597</v>
      </c>
    </row>
    <row r="22" customFormat="false" ht="15" hidden="false" customHeight="false" outlineLevel="0" collapsed="false">
      <c r="A22" s="0" t="s">
        <v>618</v>
      </c>
      <c r="B22" s="0" t="s">
        <v>595</v>
      </c>
      <c r="D22" s="0" t="n">
        <v>84</v>
      </c>
      <c r="E22" s="30" t="s">
        <v>599</v>
      </c>
      <c r="H22" s="28" t="s">
        <v>597</v>
      </c>
    </row>
    <row r="23" customFormat="false" ht="15" hidden="false" customHeight="false" outlineLevel="0" collapsed="false">
      <c r="A23" s="0" t="s">
        <v>619</v>
      </c>
      <c r="B23" s="0" t="s">
        <v>595</v>
      </c>
      <c r="D23" s="0" t="n">
        <v>84</v>
      </c>
      <c r="E23" s="37" t="s">
        <v>620</v>
      </c>
      <c r="H23" s="29" t="s">
        <v>621</v>
      </c>
    </row>
    <row r="24" customFormat="false" ht="15" hidden="false" customHeight="false" outlineLevel="0" collapsed="false">
      <c r="A24" s="0" t="s">
        <v>622</v>
      </c>
      <c r="B24" s="0" t="s">
        <v>595</v>
      </c>
      <c r="D24" s="0" t="n">
        <v>84</v>
      </c>
      <c r="E24" s="30" t="s">
        <v>599</v>
      </c>
      <c r="H24" s="28" t="s">
        <v>597</v>
      </c>
    </row>
    <row r="25" customFormat="false" ht="15" hidden="false" customHeight="false" outlineLevel="0" collapsed="false">
      <c r="A25" s="0" t="s">
        <v>623</v>
      </c>
      <c r="B25" s="0" t="s">
        <v>595</v>
      </c>
      <c r="D25" s="0" t="n">
        <v>84</v>
      </c>
      <c r="E25" s="30" t="s">
        <v>599</v>
      </c>
      <c r="H25" s="28" t="s">
        <v>597</v>
      </c>
    </row>
    <row r="26" customFormat="false" ht="15" hidden="false" customHeight="false" outlineLevel="0" collapsed="false">
      <c r="A26" s="0" t="s">
        <v>624</v>
      </c>
      <c r="B26" s="0" t="s">
        <v>595</v>
      </c>
      <c r="D26" s="0" t="n">
        <v>83</v>
      </c>
      <c r="E26" s="30" t="s">
        <v>599</v>
      </c>
      <c r="H26" s="28" t="s">
        <v>597</v>
      </c>
    </row>
    <row r="27" customFormat="false" ht="15" hidden="false" customHeight="false" outlineLevel="0" collapsed="false">
      <c r="A27" s="0" t="s">
        <v>625</v>
      </c>
      <c r="B27" s="0" t="s">
        <v>595</v>
      </c>
      <c r="D27" s="0" t="n">
        <v>82</v>
      </c>
      <c r="E27" s="32" t="s">
        <v>596</v>
      </c>
      <c r="H27" s="28" t="s">
        <v>597</v>
      </c>
    </row>
    <row r="28" customFormat="false" ht="15" hidden="false" customHeight="false" outlineLevel="0" collapsed="false">
      <c r="A28" s="0" t="s">
        <v>626</v>
      </c>
      <c r="B28" s="0" t="s">
        <v>595</v>
      </c>
      <c r="D28" s="0" t="n">
        <v>82</v>
      </c>
      <c r="E28" s="30" t="s">
        <v>599</v>
      </c>
      <c r="H28" s="28" t="s">
        <v>597</v>
      </c>
    </row>
    <row r="29" customFormat="false" ht="15" hidden="false" customHeight="false" outlineLevel="0" collapsed="false">
      <c r="A29" s="0" t="s">
        <v>627</v>
      </c>
      <c r="B29" s="0" t="s">
        <v>595</v>
      </c>
      <c r="D29" s="0" t="n">
        <v>81</v>
      </c>
      <c r="E29" s="30" t="s">
        <v>599</v>
      </c>
      <c r="H29" s="28" t="s">
        <v>597</v>
      </c>
    </row>
    <row r="30" customFormat="false" ht="15" hidden="false" customHeight="false" outlineLevel="0" collapsed="false">
      <c r="A30" s="0" t="s">
        <v>628</v>
      </c>
      <c r="B30" s="0" t="s">
        <v>595</v>
      </c>
      <c r="D30" s="0" t="n">
        <v>80</v>
      </c>
      <c r="E30" s="32" t="s">
        <v>596</v>
      </c>
      <c r="H30" s="28" t="s">
        <v>597</v>
      </c>
    </row>
    <row r="31" customFormat="false" ht="15" hidden="false" customHeight="false" outlineLevel="0" collapsed="false">
      <c r="A31" s="0" t="s">
        <v>629</v>
      </c>
      <c r="B31" s="0" t="s">
        <v>595</v>
      </c>
      <c r="D31" s="0" t="n">
        <v>79</v>
      </c>
      <c r="E31" s="37" t="s">
        <v>620</v>
      </c>
      <c r="H31" s="29" t="s">
        <v>621</v>
      </c>
    </row>
    <row r="32" customFormat="false" ht="15" hidden="false" customHeight="false" outlineLevel="0" collapsed="false">
      <c r="A32" s="0" t="s">
        <v>630</v>
      </c>
      <c r="B32" s="0" t="s">
        <v>595</v>
      </c>
      <c r="D32" s="0" t="n">
        <v>78</v>
      </c>
      <c r="E32" s="30" t="s">
        <v>599</v>
      </c>
      <c r="H32" s="28" t="s">
        <v>597</v>
      </c>
    </row>
    <row r="33" customFormat="false" ht="15" hidden="false" customHeight="false" outlineLevel="0" collapsed="false">
      <c r="A33" s="0" t="s">
        <v>631</v>
      </c>
      <c r="B33" s="0" t="s">
        <v>595</v>
      </c>
      <c r="D33" s="0" t="n">
        <v>78</v>
      </c>
      <c r="E33" s="32" t="s">
        <v>596</v>
      </c>
      <c r="H33" s="28" t="s">
        <v>597</v>
      </c>
    </row>
    <row r="34" customFormat="false" ht="15" hidden="false" customHeight="false" outlineLevel="0" collapsed="false">
      <c r="A34" s="0" t="s">
        <v>632</v>
      </c>
      <c r="B34" s="0" t="s">
        <v>595</v>
      </c>
      <c r="D34" s="0" t="n">
        <v>78</v>
      </c>
      <c r="E34" s="30" t="s">
        <v>599</v>
      </c>
      <c r="H34" s="28" t="s">
        <v>597</v>
      </c>
    </row>
    <row r="35" customFormat="false" ht="15" hidden="false" customHeight="false" outlineLevel="0" collapsed="false">
      <c r="A35" s="0" t="s">
        <v>633</v>
      </c>
      <c r="B35" s="0" t="s">
        <v>595</v>
      </c>
      <c r="D35" s="0" t="n">
        <v>77</v>
      </c>
      <c r="E35" s="30" t="s">
        <v>599</v>
      </c>
      <c r="H35" s="28" t="s">
        <v>597</v>
      </c>
    </row>
    <row r="36" customFormat="false" ht="15" hidden="false" customHeight="false" outlineLevel="0" collapsed="false">
      <c r="A36" s="0" t="s">
        <v>634</v>
      </c>
      <c r="B36" s="0" t="s">
        <v>595</v>
      </c>
      <c r="D36" s="0" t="n">
        <v>77</v>
      </c>
      <c r="E36" s="30" t="s">
        <v>599</v>
      </c>
      <c r="H36" s="28" t="s">
        <v>597</v>
      </c>
    </row>
    <row r="37" customFormat="false" ht="15" hidden="false" customHeight="false" outlineLevel="0" collapsed="false">
      <c r="A37" s="0" t="s">
        <v>635</v>
      </c>
      <c r="B37" s="0" t="s">
        <v>595</v>
      </c>
      <c r="D37" s="0" t="n">
        <v>76</v>
      </c>
      <c r="E37" s="30" t="s">
        <v>599</v>
      </c>
      <c r="H37" s="28" t="s">
        <v>597</v>
      </c>
    </row>
    <row r="38" customFormat="false" ht="15" hidden="false" customHeight="false" outlineLevel="0" collapsed="false">
      <c r="A38" s="0" t="s">
        <v>636</v>
      </c>
      <c r="B38" s="0" t="s">
        <v>595</v>
      </c>
      <c r="D38" s="0" t="n">
        <v>75</v>
      </c>
      <c r="E38" s="30" t="s">
        <v>599</v>
      </c>
      <c r="H38" s="28" t="s">
        <v>597</v>
      </c>
    </row>
    <row r="39" customFormat="false" ht="15" hidden="false" customHeight="false" outlineLevel="0" collapsed="false">
      <c r="A39" s="0" t="s">
        <v>637</v>
      </c>
      <c r="B39" s="0" t="s">
        <v>595</v>
      </c>
      <c r="D39" s="0" t="n">
        <v>75</v>
      </c>
      <c r="E39" s="30" t="s">
        <v>599</v>
      </c>
      <c r="H39" s="28" t="s">
        <v>597</v>
      </c>
    </row>
    <row r="40" customFormat="false" ht="15" hidden="false" customHeight="false" outlineLevel="0" collapsed="false">
      <c r="A40" s="0" t="s">
        <v>638</v>
      </c>
      <c r="B40" s="0" t="s">
        <v>595</v>
      </c>
      <c r="D40" s="0" t="n">
        <v>75</v>
      </c>
      <c r="E40" s="30" t="s">
        <v>599</v>
      </c>
      <c r="H40" s="28" t="s">
        <v>597</v>
      </c>
    </row>
    <row r="41" customFormat="false" ht="15" hidden="false" customHeight="false" outlineLevel="0" collapsed="false">
      <c r="A41" s="0" t="s">
        <v>639</v>
      </c>
      <c r="B41" s="0" t="s">
        <v>595</v>
      </c>
      <c r="D41" s="0" t="n">
        <v>75</v>
      </c>
      <c r="E41" s="32" t="s">
        <v>596</v>
      </c>
      <c r="H41" s="28" t="s">
        <v>597</v>
      </c>
    </row>
    <row r="42" customFormat="false" ht="15" hidden="false" customHeight="false" outlineLevel="0" collapsed="false">
      <c r="A42" s="0" t="s">
        <v>640</v>
      </c>
      <c r="B42" s="0" t="s">
        <v>595</v>
      </c>
      <c r="D42" s="0" t="n">
        <v>74</v>
      </c>
      <c r="E42" s="30" t="s">
        <v>599</v>
      </c>
      <c r="H42" s="28" t="s">
        <v>597</v>
      </c>
    </row>
    <row r="43" customFormat="false" ht="15" hidden="false" customHeight="false" outlineLevel="0" collapsed="false">
      <c r="A43" s="0" t="s">
        <v>641</v>
      </c>
      <c r="B43" s="0" t="s">
        <v>595</v>
      </c>
      <c r="D43" s="0" t="n">
        <v>74</v>
      </c>
      <c r="E43" s="37" t="s">
        <v>620</v>
      </c>
      <c r="H43" s="29" t="s">
        <v>621</v>
      </c>
    </row>
    <row r="44" customFormat="false" ht="15" hidden="false" customHeight="false" outlineLevel="0" collapsed="false">
      <c r="A44" s="0" t="s">
        <v>642</v>
      </c>
      <c r="B44" s="0" t="s">
        <v>595</v>
      </c>
      <c r="D44" s="0" t="n">
        <v>74</v>
      </c>
      <c r="E44" s="30" t="s">
        <v>599</v>
      </c>
      <c r="H44" s="28" t="s">
        <v>597</v>
      </c>
    </row>
    <row r="45" customFormat="false" ht="15" hidden="false" customHeight="false" outlineLevel="0" collapsed="false">
      <c r="A45" s="0" t="s">
        <v>643</v>
      </c>
      <c r="B45" s="0" t="s">
        <v>595</v>
      </c>
      <c r="D45" s="0" t="n">
        <v>74</v>
      </c>
      <c r="E45" s="32" t="s">
        <v>596</v>
      </c>
      <c r="H45" s="28" t="s">
        <v>597</v>
      </c>
    </row>
    <row r="46" customFormat="false" ht="15" hidden="false" customHeight="false" outlineLevel="0" collapsed="false">
      <c r="A46" s="0" t="s">
        <v>644</v>
      </c>
      <c r="B46" s="0" t="s">
        <v>595</v>
      </c>
      <c r="D46" s="0" t="n">
        <v>74</v>
      </c>
      <c r="E46" s="37" t="s">
        <v>620</v>
      </c>
      <c r="H46" s="29" t="s">
        <v>621</v>
      </c>
    </row>
    <row r="47" customFormat="false" ht="15" hidden="false" customHeight="false" outlineLevel="0" collapsed="false">
      <c r="A47" s="0" t="s">
        <v>645</v>
      </c>
      <c r="B47" s="0" t="s">
        <v>595</v>
      </c>
      <c r="D47" s="0" t="n">
        <v>74</v>
      </c>
      <c r="E47" s="30" t="s">
        <v>599</v>
      </c>
      <c r="H47" s="28" t="s">
        <v>597</v>
      </c>
    </row>
    <row r="48" customFormat="false" ht="15" hidden="false" customHeight="false" outlineLevel="0" collapsed="false">
      <c r="A48" s="0" t="s">
        <v>646</v>
      </c>
      <c r="B48" s="0" t="s">
        <v>595</v>
      </c>
      <c r="D48" s="0" t="n">
        <v>74</v>
      </c>
      <c r="E48" s="30" t="s">
        <v>599</v>
      </c>
      <c r="H48" s="28" t="s">
        <v>597</v>
      </c>
    </row>
    <row r="49" customFormat="false" ht="15" hidden="false" customHeight="false" outlineLevel="0" collapsed="false">
      <c r="A49" s="0" t="s">
        <v>647</v>
      </c>
      <c r="B49" s="0" t="s">
        <v>595</v>
      </c>
      <c r="D49" s="0" t="n">
        <v>74</v>
      </c>
      <c r="E49" s="37" t="s">
        <v>620</v>
      </c>
      <c r="H49" s="29" t="s">
        <v>621</v>
      </c>
    </row>
    <row r="50" customFormat="false" ht="15" hidden="false" customHeight="false" outlineLevel="0" collapsed="false">
      <c r="A50" s="0" t="s">
        <v>648</v>
      </c>
      <c r="B50" s="0" t="s">
        <v>595</v>
      </c>
      <c r="D50" s="0" t="n">
        <v>74</v>
      </c>
      <c r="E50" s="37" t="s">
        <v>620</v>
      </c>
      <c r="H50" s="29" t="s">
        <v>621</v>
      </c>
    </row>
    <row r="51" customFormat="false" ht="15" hidden="false" customHeight="false" outlineLevel="0" collapsed="false">
      <c r="A51" s="0" t="s">
        <v>649</v>
      </c>
      <c r="B51" s="0" t="s">
        <v>595</v>
      </c>
      <c r="D51" s="0" t="n">
        <v>74</v>
      </c>
      <c r="E51" s="30" t="s">
        <v>599</v>
      </c>
      <c r="H51" s="28" t="s">
        <v>597</v>
      </c>
    </row>
    <row r="52" customFormat="false" ht="15" hidden="false" customHeight="false" outlineLevel="0" collapsed="false">
      <c r="A52" s="0" t="s">
        <v>650</v>
      </c>
      <c r="B52" s="0" t="s">
        <v>595</v>
      </c>
      <c r="D52" s="0" t="n">
        <v>74</v>
      </c>
      <c r="E52" s="30" t="s">
        <v>599</v>
      </c>
      <c r="H52" s="28" t="s">
        <v>597</v>
      </c>
    </row>
    <row r="53" customFormat="false" ht="15" hidden="false" customHeight="false" outlineLevel="0" collapsed="false">
      <c r="A53" s="0" t="s">
        <v>651</v>
      </c>
      <c r="B53" s="0" t="s">
        <v>595</v>
      </c>
      <c r="D53" s="0" t="n">
        <v>73</v>
      </c>
      <c r="E53" s="37" t="s">
        <v>620</v>
      </c>
      <c r="H53" s="29" t="s">
        <v>621</v>
      </c>
    </row>
    <row r="54" customFormat="false" ht="15" hidden="false" customHeight="false" outlineLevel="0" collapsed="false">
      <c r="A54" s="0" t="s">
        <v>652</v>
      </c>
      <c r="B54" s="0" t="s">
        <v>595</v>
      </c>
      <c r="D54" s="0" t="n">
        <v>73</v>
      </c>
      <c r="E54" s="30" t="s">
        <v>599</v>
      </c>
      <c r="H54" s="28" t="s">
        <v>597</v>
      </c>
    </row>
    <row r="55" customFormat="false" ht="15" hidden="false" customHeight="false" outlineLevel="0" collapsed="false">
      <c r="A55" s="0" t="s">
        <v>653</v>
      </c>
      <c r="B55" s="0" t="s">
        <v>595</v>
      </c>
      <c r="D55" s="0" t="n">
        <v>73</v>
      </c>
      <c r="E55" s="30" t="s">
        <v>599</v>
      </c>
      <c r="H55" s="28" t="s">
        <v>597</v>
      </c>
    </row>
    <row r="56" customFormat="false" ht="15" hidden="false" customHeight="false" outlineLevel="0" collapsed="false">
      <c r="A56" s="0" t="s">
        <v>654</v>
      </c>
      <c r="B56" s="0" t="s">
        <v>595</v>
      </c>
      <c r="D56" s="0" t="n">
        <v>73</v>
      </c>
      <c r="E56" s="30" t="s">
        <v>599</v>
      </c>
      <c r="H56" s="28" t="s">
        <v>597</v>
      </c>
    </row>
    <row r="57" customFormat="false" ht="15" hidden="false" customHeight="false" outlineLevel="0" collapsed="false">
      <c r="A57" s="0" t="s">
        <v>655</v>
      </c>
      <c r="B57" s="0" t="s">
        <v>595</v>
      </c>
      <c r="D57" s="0" t="n">
        <v>73</v>
      </c>
      <c r="E57" s="30" t="s">
        <v>599</v>
      </c>
      <c r="H57" s="28" t="s">
        <v>597</v>
      </c>
    </row>
    <row r="58" customFormat="false" ht="15" hidden="false" customHeight="false" outlineLevel="0" collapsed="false">
      <c r="A58" s="0" t="s">
        <v>656</v>
      </c>
      <c r="B58" s="0" t="s">
        <v>595</v>
      </c>
      <c r="D58" s="0" t="n">
        <v>72</v>
      </c>
      <c r="E58" s="30" t="s">
        <v>599</v>
      </c>
      <c r="H58" s="28" t="s">
        <v>597</v>
      </c>
    </row>
    <row r="59" customFormat="false" ht="15" hidden="false" customHeight="false" outlineLevel="0" collapsed="false">
      <c r="A59" s="0" t="s">
        <v>657</v>
      </c>
      <c r="B59" s="0" t="s">
        <v>595</v>
      </c>
      <c r="D59" s="0" t="n">
        <v>72</v>
      </c>
      <c r="E59" s="30" t="s">
        <v>599</v>
      </c>
      <c r="H59" s="28" t="s">
        <v>597</v>
      </c>
    </row>
    <row r="60" customFormat="false" ht="15" hidden="false" customHeight="false" outlineLevel="0" collapsed="false">
      <c r="A60" s="0" t="s">
        <v>658</v>
      </c>
      <c r="B60" s="0" t="s">
        <v>595</v>
      </c>
      <c r="D60" s="0" t="n">
        <v>72</v>
      </c>
      <c r="E60" s="30" t="s">
        <v>599</v>
      </c>
      <c r="H60" s="28" t="s">
        <v>597</v>
      </c>
    </row>
    <row r="61" customFormat="false" ht="15" hidden="false" customHeight="false" outlineLevel="0" collapsed="false">
      <c r="A61" s="0" t="s">
        <v>659</v>
      </c>
      <c r="B61" s="0" t="s">
        <v>595</v>
      </c>
      <c r="D61" s="0" t="n">
        <v>72</v>
      </c>
      <c r="E61" s="30" t="s">
        <v>599</v>
      </c>
      <c r="H61" s="28" t="s">
        <v>597</v>
      </c>
    </row>
    <row r="62" customFormat="false" ht="15" hidden="false" customHeight="false" outlineLevel="0" collapsed="false">
      <c r="A62" s="0" t="s">
        <v>660</v>
      </c>
      <c r="B62" s="0" t="s">
        <v>595</v>
      </c>
      <c r="D62" s="0" t="n">
        <v>72</v>
      </c>
      <c r="E62" s="30" t="s">
        <v>599</v>
      </c>
      <c r="H62" s="28" t="s">
        <v>597</v>
      </c>
    </row>
    <row r="63" customFormat="false" ht="15" hidden="false" customHeight="false" outlineLevel="0" collapsed="false">
      <c r="A63" s="0" t="s">
        <v>661</v>
      </c>
      <c r="B63" s="0" t="s">
        <v>595</v>
      </c>
      <c r="D63" s="0" t="n">
        <v>71</v>
      </c>
      <c r="E63" s="30" t="s">
        <v>599</v>
      </c>
      <c r="H63" s="28" t="s">
        <v>597</v>
      </c>
    </row>
    <row r="64" customFormat="false" ht="15" hidden="false" customHeight="false" outlineLevel="0" collapsed="false">
      <c r="A64" s="0" t="s">
        <v>662</v>
      </c>
      <c r="B64" s="0" t="s">
        <v>595</v>
      </c>
      <c r="D64" s="0" t="n">
        <v>71</v>
      </c>
      <c r="E64" s="30" t="s">
        <v>599</v>
      </c>
      <c r="H64" s="28" t="s">
        <v>597</v>
      </c>
    </row>
    <row r="65" customFormat="false" ht="15" hidden="false" customHeight="false" outlineLevel="0" collapsed="false">
      <c r="A65" s="0" t="s">
        <v>663</v>
      </c>
      <c r="B65" s="0" t="s">
        <v>595</v>
      </c>
      <c r="D65" s="0" t="n">
        <v>71</v>
      </c>
      <c r="E65" s="30" t="s">
        <v>599</v>
      </c>
      <c r="H65" s="28" t="s">
        <v>597</v>
      </c>
    </row>
    <row r="66" customFormat="false" ht="15" hidden="false" customHeight="false" outlineLevel="0" collapsed="false">
      <c r="A66" s="0" t="s">
        <v>664</v>
      </c>
      <c r="B66" s="0" t="s">
        <v>595</v>
      </c>
      <c r="D66" s="0" t="n">
        <v>71</v>
      </c>
      <c r="E66" s="30" t="s">
        <v>599</v>
      </c>
      <c r="H66" s="28" t="s">
        <v>597</v>
      </c>
    </row>
    <row r="67" customFormat="false" ht="15" hidden="false" customHeight="false" outlineLevel="0" collapsed="false">
      <c r="A67" s="0" t="s">
        <v>665</v>
      </c>
      <c r="B67" s="0" t="s">
        <v>595</v>
      </c>
      <c r="D67" s="0" t="n">
        <v>70</v>
      </c>
      <c r="E67" s="30" t="s">
        <v>599</v>
      </c>
      <c r="H67" s="28" t="s">
        <v>597</v>
      </c>
    </row>
    <row r="68" customFormat="false" ht="15" hidden="false" customHeight="false" outlineLevel="0" collapsed="false">
      <c r="A68" s="0" t="s">
        <v>666</v>
      </c>
      <c r="B68" s="0" t="s">
        <v>595</v>
      </c>
      <c r="D68" s="0" t="n">
        <v>69</v>
      </c>
      <c r="E68" s="37" t="s">
        <v>620</v>
      </c>
      <c r="H68" s="29" t="s">
        <v>621</v>
      </c>
    </row>
    <row r="69" customFormat="false" ht="15" hidden="false" customHeight="false" outlineLevel="0" collapsed="false">
      <c r="A69" s="0" t="s">
        <v>667</v>
      </c>
      <c r="B69" s="0" t="s">
        <v>595</v>
      </c>
      <c r="D69" s="0" t="n">
        <v>69</v>
      </c>
      <c r="E69" s="30" t="s">
        <v>599</v>
      </c>
      <c r="H69" s="28" t="s">
        <v>597</v>
      </c>
    </row>
    <row r="70" customFormat="false" ht="15" hidden="false" customHeight="false" outlineLevel="0" collapsed="false">
      <c r="A70" s="0" t="s">
        <v>668</v>
      </c>
      <c r="B70" s="0" t="s">
        <v>595</v>
      </c>
      <c r="D70" s="0" t="n">
        <v>69</v>
      </c>
      <c r="E70" s="30" t="s">
        <v>599</v>
      </c>
      <c r="H70" s="28" t="s">
        <v>597</v>
      </c>
    </row>
    <row r="71" customFormat="false" ht="15" hidden="false" customHeight="false" outlineLevel="0" collapsed="false">
      <c r="A71" s="0" t="s">
        <v>669</v>
      </c>
      <c r="B71" s="0" t="s">
        <v>595</v>
      </c>
      <c r="D71" s="0" t="n">
        <v>68</v>
      </c>
      <c r="E71" s="30" t="s">
        <v>599</v>
      </c>
      <c r="H71" s="28" t="s">
        <v>597</v>
      </c>
    </row>
    <row r="72" customFormat="false" ht="15" hidden="false" customHeight="false" outlineLevel="0" collapsed="false">
      <c r="A72" s="0" t="s">
        <v>670</v>
      </c>
      <c r="B72" s="0" t="s">
        <v>595</v>
      </c>
      <c r="D72" s="0" t="n">
        <v>68</v>
      </c>
      <c r="E72" s="30" t="s">
        <v>599</v>
      </c>
      <c r="H72" s="28" t="s">
        <v>597</v>
      </c>
    </row>
    <row r="73" customFormat="false" ht="15" hidden="false" customHeight="false" outlineLevel="0" collapsed="false">
      <c r="A73" s="0" t="s">
        <v>671</v>
      </c>
      <c r="B73" s="0" t="s">
        <v>595</v>
      </c>
      <c r="D73" s="0" t="n">
        <v>68</v>
      </c>
      <c r="E73" s="30" t="s">
        <v>599</v>
      </c>
      <c r="H73" s="28" t="s">
        <v>597</v>
      </c>
    </row>
    <row r="74" customFormat="false" ht="15" hidden="false" customHeight="false" outlineLevel="0" collapsed="false">
      <c r="A74" s="0" t="s">
        <v>672</v>
      </c>
      <c r="B74" s="0" t="s">
        <v>595</v>
      </c>
      <c r="D74" s="0" t="n">
        <v>67</v>
      </c>
      <c r="E74" s="30" t="s">
        <v>599</v>
      </c>
      <c r="H74" s="28" t="s">
        <v>597</v>
      </c>
    </row>
    <row r="75" customFormat="false" ht="15" hidden="false" customHeight="false" outlineLevel="0" collapsed="false">
      <c r="A75" s="0" t="s">
        <v>673</v>
      </c>
      <c r="B75" s="0" t="s">
        <v>595</v>
      </c>
      <c r="D75" s="0" t="n">
        <v>66</v>
      </c>
      <c r="E75" s="30" t="s">
        <v>599</v>
      </c>
      <c r="H75" s="28" t="s">
        <v>597</v>
      </c>
    </row>
    <row r="76" customFormat="false" ht="15" hidden="false" customHeight="false" outlineLevel="0" collapsed="false">
      <c r="A76" s="0" t="s">
        <v>674</v>
      </c>
      <c r="B76" s="0" t="s">
        <v>595</v>
      </c>
      <c r="D76" s="0" t="n">
        <v>66</v>
      </c>
      <c r="E76" s="32" t="s">
        <v>596</v>
      </c>
      <c r="H76" s="28" t="s">
        <v>597</v>
      </c>
    </row>
    <row r="77" customFormat="false" ht="15" hidden="false" customHeight="false" outlineLevel="0" collapsed="false">
      <c r="A77" s="0" t="s">
        <v>675</v>
      </c>
      <c r="B77" s="0" t="s">
        <v>595</v>
      </c>
      <c r="D77" s="0" t="n">
        <v>65</v>
      </c>
      <c r="E77" s="30" t="s">
        <v>599</v>
      </c>
      <c r="H77" s="28" t="s">
        <v>597</v>
      </c>
    </row>
    <row r="78" customFormat="false" ht="15" hidden="false" customHeight="false" outlineLevel="0" collapsed="false">
      <c r="A78" s="0" t="s">
        <v>676</v>
      </c>
      <c r="B78" s="0" t="s">
        <v>595</v>
      </c>
      <c r="D78" s="0" t="n">
        <v>65</v>
      </c>
      <c r="E78" s="30" t="s">
        <v>599</v>
      </c>
      <c r="H78" s="28" t="s">
        <v>597</v>
      </c>
    </row>
    <row r="79" customFormat="false" ht="15" hidden="false" customHeight="false" outlineLevel="0" collapsed="false">
      <c r="A79" s="0" t="s">
        <v>677</v>
      </c>
      <c r="B79" s="0" t="s">
        <v>595</v>
      </c>
      <c r="D79" s="0" t="n">
        <v>63</v>
      </c>
      <c r="E79" s="37" t="s">
        <v>620</v>
      </c>
      <c r="H79" s="29" t="s">
        <v>621</v>
      </c>
    </row>
    <row r="80" customFormat="false" ht="15" hidden="false" customHeight="false" outlineLevel="0" collapsed="false">
      <c r="A80" s="0" t="s">
        <v>678</v>
      </c>
      <c r="B80" s="0" t="s">
        <v>595</v>
      </c>
      <c r="D80" s="0" t="n">
        <v>60</v>
      </c>
      <c r="E80" s="32" t="s">
        <v>596</v>
      </c>
      <c r="H80" s="28" t="s">
        <v>597</v>
      </c>
    </row>
    <row r="81" customFormat="false" ht="15" hidden="false" customHeight="false" outlineLevel="0" collapsed="false">
      <c r="A81" s="0" t="s">
        <v>679</v>
      </c>
      <c r="B81" s="0" t="s">
        <v>595</v>
      </c>
      <c r="D81" s="0" t="n">
        <v>60</v>
      </c>
      <c r="E81" s="37" t="s">
        <v>620</v>
      </c>
      <c r="H81" s="29" t="s">
        <v>621</v>
      </c>
    </row>
    <row r="82" customFormat="false" ht="15" hidden="false" customHeight="false" outlineLevel="0" collapsed="false">
      <c r="A82" s="0" t="s">
        <v>680</v>
      </c>
      <c r="B82" s="0" t="s">
        <v>595</v>
      </c>
      <c r="D82" s="0" t="n">
        <v>59</v>
      </c>
      <c r="E82" s="30" t="s">
        <v>599</v>
      </c>
      <c r="H82" s="28" t="s">
        <v>597</v>
      </c>
    </row>
    <row r="83" customFormat="false" ht="15" hidden="false" customHeight="false" outlineLevel="0" collapsed="false">
      <c r="A83" s="0" t="s">
        <v>681</v>
      </c>
      <c r="B83" s="0" t="s">
        <v>595</v>
      </c>
      <c r="D83" s="0" t="n">
        <v>59</v>
      </c>
      <c r="E83" s="37" t="s">
        <v>620</v>
      </c>
      <c r="H83" s="29" t="s">
        <v>621</v>
      </c>
    </row>
    <row r="84" customFormat="false" ht="15" hidden="false" customHeight="false" outlineLevel="0" collapsed="false">
      <c r="A84" s="0" t="s">
        <v>682</v>
      </c>
      <c r="B84" s="0" t="s">
        <v>595</v>
      </c>
      <c r="D84" s="0" t="n">
        <v>58</v>
      </c>
      <c r="E84" s="30" t="s">
        <v>599</v>
      </c>
      <c r="H84" s="28" t="s">
        <v>597</v>
      </c>
    </row>
    <row r="85" customFormat="false" ht="15" hidden="false" customHeight="false" outlineLevel="0" collapsed="false">
      <c r="A85" s="0" t="s">
        <v>683</v>
      </c>
      <c r="B85" s="0" t="s">
        <v>595</v>
      </c>
      <c r="D85" s="0" t="n">
        <v>58</v>
      </c>
      <c r="E85" s="30" t="s">
        <v>599</v>
      </c>
      <c r="H85" s="28" t="s">
        <v>597</v>
      </c>
    </row>
    <row r="86" customFormat="false" ht="15" hidden="false" customHeight="false" outlineLevel="0" collapsed="false">
      <c r="A86" s="0" t="s">
        <v>684</v>
      </c>
      <c r="B86" s="0" t="s">
        <v>595</v>
      </c>
      <c r="D86" s="0" t="n">
        <v>58</v>
      </c>
      <c r="E86" s="37" t="s">
        <v>620</v>
      </c>
      <c r="H86" s="29" t="s">
        <v>621</v>
      </c>
    </row>
    <row r="87" customFormat="false" ht="15" hidden="false" customHeight="false" outlineLevel="0" collapsed="false">
      <c r="A87" s="0" t="s">
        <v>685</v>
      </c>
      <c r="B87" s="0" t="s">
        <v>595</v>
      </c>
      <c r="D87" s="0" t="n">
        <v>58</v>
      </c>
      <c r="E87" s="37" t="s">
        <v>620</v>
      </c>
      <c r="H87" s="29" t="s">
        <v>621</v>
      </c>
    </row>
    <row r="88" customFormat="false" ht="15" hidden="false" customHeight="false" outlineLevel="0" collapsed="false">
      <c r="A88" s="0" t="s">
        <v>686</v>
      </c>
      <c r="B88" s="0" t="s">
        <v>595</v>
      </c>
      <c r="D88" s="0" t="n">
        <v>58</v>
      </c>
      <c r="E88" s="30" t="s">
        <v>599</v>
      </c>
      <c r="H88" s="28" t="s">
        <v>597</v>
      </c>
    </row>
    <row r="89" customFormat="false" ht="15" hidden="false" customHeight="false" outlineLevel="0" collapsed="false">
      <c r="A89" s="0" t="s">
        <v>687</v>
      </c>
      <c r="B89" s="0" t="s">
        <v>595</v>
      </c>
      <c r="D89" s="0" t="n">
        <v>57</v>
      </c>
      <c r="E89" s="37" t="s">
        <v>620</v>
      </c>
      <c r="H89" s="29" t="s">
        <v>621</v>
      </c>
    </row>
    <row r="90" customFormat="false" ht="15" hidden="false" customHeight="false" outlineLevel="0" collapsed="false">
      <c r="A90" s="0" t="s">
        <v>688</v>
      </c>
      <c r="B90" s="0" t="s">
        <v>595</v>
      </c>
      <c r="D90" s="0" t="n">
        <v>57</v>
      </c>
      <c r="E90" s="30" t="s">
        <v>599</v>
      </c>
      <c r="H90" s="28" t="s">
        <v>597</v>
      </c>
    </row>
    <row r="91" customFormat="false" ht="15" hidden="false" customHeight="false" outlineLevel="0" collapsed="false">
      <c r="A91" s="0" t="s">
        <v>689</v>
      </c>
      <c r="B91" s="0" t="s">
        <v>595</v>
      </c>
      <c r="D91" s="0" t="n">
        <v>56</v>
      </c>
      <c r="E91" s="30" t="s">
        <v>599</v>
      </c>
      <c r="H91" s="28" t="s">
        <v>597</v>
      </c>
    </row>
    <row r="92" customFormat="false" ht="15" hidden="false" customHeight="false" outlineLevel="0" collapsed="false">
      <c r="A92" s="0" t="s">
        <v>690</v>
      </c>
      <c r="B92" s="0" t="s">
        <v>595</v>
      </c>
      <c r="D92" s="0" t="n">
        <v>55</v>
      </c>
      <c r="E92" s="37" t="s">
        <v>620</v>
      </c>
      <c r="H92" s="29" t="s">
        <v>621</v>
      </c>
    </row>
    <row r="93" customFormat="false" ht="15" hidden="false" customHeight="false" outlineLevel="0" collapsed="false">
      <c r="A93" s="0" t="s">
        <v>691</v>
      </c>
      <c r="B93" s="0" t="s">
        <v>595</v>
      </c>
      <c r="D93" s="0" t="n">
        <v>55</v>
      </c>
      <c r="E93" s="30" t="s">
        <v>599</v>
      </c>
      <c r="H93" s="28" t="s">
        <v>597</v>
      </c>
    </row>
    <row r="94" customFormat="false" ht="15" hidden="false" customHeight="false" outlineLevel="0" collapsed="false">
      <c r="A94" s="0" t="s">
        <v>692</v>
      </c>
      <c r="B94" s="0" t="s">
        <v>595</v>
      </c>
      <c r="D94" s="0" t="n">
        <v>55</v>
      </c>
      <c r="E94" s="30" t="s">
        <v>599</v>
      </c>
      <c r="H94" s="28" t="s">
        <v>597</v>
      </c>
    </row>
    <row r="95" customFormat="false" ht="15" hidden="false" customHeight="false" outlineLevel="0" collapsed="false">
      <c r="A95" s="0" t="s">
        <v>693</v>
      </c>
      <c r="B95" s="0" t="s">
        <v>595</v>
      </c>
      <c r="D95" s="0" t="n">
        <v>55</v>
      </c>
      <c r="E95" s="37" t="s">
        <v>620</v>
      </c>
      <c r="H95" s="29" t="s">
        <v>621</v>
      </c>
    </row>
    <row r="96" customFormat="false" ht="15" hidden="false" customHeight="false" outlineLevel="0" collapsed="false">
      <c r="A96" s="0" t="s">
        <v>694</v>
      </c>
      <c r="B96" s="0" t="s">
        <v>595</v>
      </c>
      <c r="D96" s="0" t="n">
        <v>54</v>
      </c>
      <c r="E96" s="30" t="s">
        <v>599</v>
      </c>
      <c r="H96" s="28" t="s">
        <v>597</v>
      </c>
    </row>
    <row r="97" customFormat="false" ht="15" hidden="false" customHeight="false" outlineLevel="0" collapsed="false">
      <c r="A97" s="0" t="s">
        <v>695</v>
      </c>
      <c r="B97" s="0" t="s">
        <v>595</v>
      </c>
      <c r="D97" s="0" t="n">
        <v>54</v>
      </c>
      <c r="E97" s="30" t="s">
        <v>599</v>
      </c>
      <c r="H97" s="28" t="s">
        <v>597</v>
      </c>
    </row>
    <row r="98" customFormat="false" ht="15" hidden="false" customHeight="false" outlineLevel="0" collapsed="false">
      <c r="A98" s="0" t="s">
        <v>696</v>
      </c>
      <c r="B98" s="0" t="s">
        <v>595</v>
      </c>
      <c r="D98" s="0" t="n">
        <v>54</v>
      </c>
      <c r="E98" s="30" t="s">
        <v>599</v>
      </c>
      <c r="H98" s="28" t="s">
        <v>597</v>
      </c>
    </row>
    <row r="99" customFormat="false" ht="15" hidden="false" customHeight="false" outlineLevel="0" collapsed="false">
      <c r="A99" s="0" t="s">
        <v>697</v>
      </c>
      <c r="B99" s="0" t="s">
        <v>595</v>
      </c>
      <c r="D99" s="0" t="n">
        <v>54</v>
      </c>
      <c r="E99" s="30" t="s">
        <v>599</v>
      </c>
      <c r="H99" s="28" t="s">
        <v>597</v>
      </c>
    </row>
    <row r="100" customFormat="false" ht="15" hidden="false" customHeight="false" outlineLevel="0" collapsed="false">
      <c r="A100" s="0" t="s">
        <v>698</v>
      </c>
      <c r="B100" s="0" t="s">
        <v>595</v>
      </c>
      <c r="D100" s="0" t="n">
        <v>54</v>
      </c>
      <c r="E100" s="30" t="s">
        <v>599</v>
      </c>
      <c r="H100" s="28" t="s">
        <v>597</v>
      </c>
    </row>
    <row r="101" customFormat="false" ht="15" hidden="false" customHeight="false" outlineLevel="0" collapsed="false">
      <c r="A101" s="0" t="s">
        <v>699</v>
      </c>
      <c r="B101" s="0" t="s">
        <v>595</v>
      </c>
      <c r="D101" s="0" t="n">
        <v>54</v>
      </c>
      <c r="E101" s="30" t="s">
        <v>599</v>
      </c>
      <c r="H101" s="28" t="s">
        <v>597</v>
      </c>
    </row>
    <row r="102" customFormat="false" ht="15" hidden="false" customHeight="false" outlineLevel="0" collapsed="false">
      <c r="A102" s="0" t="s">
        <v>700</v>
      </c>
      <c r="B102" s="0" t="s">
        <v>595</v>
      </c>
      <c r="D102" s="0" t="n">
        <v>54</v>
      </c>
      <c r="E102" s="30" t="s">
        <v>599</v>
      </c>
      <c r="H102" s="28" t="s">
        <v>597</v>
      </c>
    </row>
    <row r="103" customFormat="false" ht="15" hidden="false" customHeight="false" outlineLevel="0" collapsed="false">
      <c r="A103" s="0" t="s">
        <v>701</v>
      </c>
      <c r="B103" s="0" t="s">
        <v>595</v>
      </c>
      <c r="D103" s="0" t="n">
        <v>53</v>
      </c>
      <c r="E103" s="30" t="s">
        <v>599</v>
      </c>
      <c r="H103" s="28" t="s">
        <v>597</v>
      </c>
    </row>
    <row r="104" customFormat="false" ht="15" hidden="false" customHeight="false" outlineLevel="0" collapsed="false">
      <c r="A104" s="0" t="s">
        <v>702</v>
      </c>
      <c r="B104" s="0" t="s">
        <v>595</v>
      </c>
      <c r="D104" s="0" t="n">
        <v>52</v>
      </c>
      <c r="E104" s="30" t="s">
        <v>599</v>
      </c>
      <c r="H104" s="28" t="s">
        <v>597</v>
      </c>
    </row>
    <row r="105" customFormat="false" ht="15" hidden="false" customHeight="false" outlineLevel="0" collapsed="false">
      <c r="A105" s="0" t="s">
        <v>703</v>
      </c>
      <c r="B105" s="0" t="s">
        <v>595</v>
      </c>
      <c r="D105" s="0" t="n">
        <v>52</v>
      </c>
      <c r="E105" s="32" t="s">
        <v>596</v>
      </c>
      <c r="H105" s="28" t="s">
        <v>597</v>
      </c>
    </row>
    <row r="106" customFormat="false" ht="15" hidden="false" customHeight="false" outlineLevel="0" collapsed="false">
      <c r="A106" s="0" t="s">
        <v>704</v>
      </c>
      <c r="B106" s="0" t="s">
        <v>595</v>
      </c>
      <c r="D106" s="0" t="n">
        <v>52</v>
      </c>
      <c r="E106" s="30" t="s">
        <v>599</v>
      </c>
      <c r="H106" s="28" t="s">
        <v>597</v>
      </c>
    </row>
    <row r="107" customFormat="false" ht="15" hidden="false" customHeight="false" outlineLevel="0" collapsed="false">
      <c r="A107" s="0" t="s">
        <v>705</v>
      </c>
      <c r="B107" s="0" t="s">
        <v>595</v>
      </c>
      <c r="D107" s="0" t="n">
        <v>51</v>
      </c>
      <c r="E107" s="30" t="s">
        <v>599</v>
      </c>
      <c r="H107" s="28" t="s">
        <v>597</v>
      </c>
    </row>
    <row r="108" customFormat="false" ht="15" hidden="false" customHeight="false" outlineLevel="0" collapsed="false">
      <c r="A108" s="0" t="s">
        <v>706</v>
      </c>
      <c r="B108" s="0" t="s">
        <v>595</v>
      </c>
      <c r="D108" s="0" t="n">
        <v>51</v>
      </c>
      <c r="E108" s="30" t="s">
        <v>599</v>
      </c>
      <c r="H108" s="28" t="s">
        <v>597</v>
      </c>
    </row>
    <row r="109" customFormat="false" ht="15" hidden="false" customHeight="false" outlineLevel="0" collapsed="false">
      <c r="A109" s="0" t="s">
        <v>707</v>
      </c>
      <c r="B109" s="0" t="s">
        <v>595</v>
      </c>
      <c r="D109" s="0" t="n">
        <v>51</v>
      </c>
      <c r="E109" s="32" t="s">
        <v>596</v>
      </c>
      <c r="H109" s="28" t="s">
        <v>597</v>
      </c>
    </row>
    <row r="110" customFormat="false" ht="15" hidden="false" customHeight="false" outlineLevel="0" collapsed="false">
      <c r="A110" s="0" t="s">
        <v>708</v>
      </c>
      <c r="B110" s="0" t="s">
        <v>595</v>
      </c>
      <c r="D110" s="0" t="n">
        <v>51</v>
      </c>
      <c r="E110" s="30" t="s">
        <v>599</v>
      </c>
      <c r="H110" s="28" t="s">
        <v>597</v>
      </c>
    </row>
    <row r="111" customFormat="false" ht="15" hidden="false" customHeight="false" outlineLevel="0" collapsed="false">
      <c r="A111" s="0" t="s">
        <v>709</v>
      </c>
      <c r="B111" s="0" t="s">
        <v>595</v>
      </c>
      <c r="D111" s="0" t="n">
        <v>50</v>
      </c>
      <c r="E111" s="30" t="s">
        <v>599</v>
      </c>
      <c r="H111" s="28" t="s">
        <v>597</v>
      </c>
    </row>
    <row r="112" customFormat="false" ht="15" hidden="false" customHeight="false" outlineLevel="0" collapsed="false">
      <c r="A112" s="0" t="s">
        <v>710</v>
      </c>
      <c r="B112" s="0" t="s">
        <v>595</v>
      </c>
      <c r="D112" s="0" t="n">
        <v>50</v>
      </c>
      <c r="E112" s="30" t="s">
        <v>599</v>
      </c>
      <c r="H112" s="28" t="s">
        <v>597</v>
      </c>
    </row>
    <row r="113" customFormat="false" ht="15" hidden="false" customHeight="false" outlineLevel="0" collapsed="false">
      <c r="A113" s="0" t="s">
        <v>711</v>
      </c>
      <c r="B113" s="0" t="s">
        <v>595</v>
      </c>
      <c r="D113" s="0" t="n">
        <v>50</v>
      </c>
      <c r="E113" s="30" t="s">
        <v>599</v>
      </c>
      <c r="H113" s="28" t="s">
        <v>597</v>
      </c>
    </row>
    <row r="114" customFormat="false" ht="15" hidden="false" customHeight="false" outlineLevel="0" collapsed="false">
      <c r="A114" s="0" t="s">
        <v>712</v>
      </c>
      <c r="B114" s="0" t="s">
        <v>595</v>
      </c>
      <c r="D114" s="0" t="n">
        <v>50</v>
      </c>
      <c r="E114" s="30" t="s">
        <v>599</v>
      </c>
      <c r="H114" s="28" t="s">
        <v>597</v>
      </c>
    </row>
    <row r="115" customFormat="false" ht="15" hidden="false" customHeight="false" outlineLevel="0" collapsed="false">
      <c r="A115" s="0" t="s">
        <v>713</v>
      </c>
      <c r="B115" s="0" t="s">
        <v>595</v>
      </c>
      <c r="D115" s="0" t="n">
        <v>49</v>
      </c>
      <c r="E115" s="30" t="s">
        <v>599</v>
      </c>
      <c r="H115" s="28" t="s">
        <v>597</v>
      </c>
    </row>
    <row r="116" customFormat="false" ht="15" hidden="false" customHeight="false" outlineLevel="0" collapsed="false">
      <c r="A116" s="0" t="s">
        <v>714</v>
      </c>
      <c r="B116" s="0" t="s">
        <v>595</v>
      </c>
      <c r="D116" s="0" t="n">
        <v>49</v>
      </c>
      <c r="E116" s="30" t="s">
        <v>599</v>
      </c>
      <c r="H116" s="28" t="s">
        <v>597</v>
      </c>
    </row>
    <row r="117" customFormat="false" ht="15" hidden="false" customHeight="false" outlineLevel="0" collapsed="false">
      <c r="A117" s="0" t="s">
        <v>715</v>
      </c>
      <c r="B117" s="0" t="s">
        <v>595</v>
      </c>
      <c r="D117" s="0" t="n">
        <v>48</v>
      </c>
      <c r="E117" s="37" t="s">
        <v>620</v>
      </c>
      <c r="H117" s="29" t="s">
        <v>621</v>
      </c>
    </row>
    <row r="118" customFormat="false" ht="15" hidden="false" customHeight="false" outlineLevel="0" collapsed="false">
      <c r="A118" s="0" t="s">
        <v>716</v>
      </c>
      <c r="B118" s="0" t="s">
        <v>595</v>
      </c>
      <c r="D118" s="0" t="n">
        <v>48</v>
      </c>
      <c r="E118" s="37" t="s">
        <v>620</v>
      </c>
      <c r="H118" s="29" t="s">
        <v>621</v>
      </c>
    </row>
    <row r="119" customFormat="false" ht="15" hidden="false" customHeight="false" outlineLevel="0" collapsed="false">
      <c r="A119" s="0" t="s">
        <v>717</v>
      </c>
      <c r="B119" s="0" t="s">
        <v>595</v>
      </c>
      <c r="D119" s="0" t="n">
        <v>48</v>
      </c>
      <c r="E119" s="30" t="s">
        <v>599</v>
      </c>
      <c r="H119" s="28" t="s">
        <v>597</v>
      </c>
    </row>
    <row r="120" customFormat="false" ht="15" hidden="false" customHeight="false" outlineLevel="0" collapsed="false">
      <c r="A120" s="0" t="s">
        <v>718</v>
      </c>
      <c r="B120" s="0" t="s">
        <v>595</v>
      </c>
      <c r="D120" s="0" t="n">
        <v>48</v>
      </c>
      <c r="E120" s="30" t="s">
        <v>599</v>
      </c>
      <c r="H120" s="28" t="s">
        <v>597</v>
      </c>
    </row>
    <row r="121" customFormat="false" ht="15" hidden="false" customHeight="false" outlineLevel="0" collapsed="false">
      <c r="A121" s="0" t="s">
        <v>719</v>
      </c>
      <c r="B121" s="0" t="s">
        <v>595</v>
      </c>
      <c r="D121" s="0" t="n">
        <v>48</v>
      </c>
      <c r="E121" s="30" t="s">
        <v>599</v>
      </c>
      <c r="H121" s="28" t="s">
        <v>597</v>
      </c>
    </row>
    <row r="122" customFormat="false" ht="15" hidden="false" customHeight="false" outlineLevel="0" collapsed="false">
      <c r="A122" s="0" t="s">
        <v>720</v>
      </c>
      <c r="B122" s="0" t="s">
        <v>595</v>
      </c>
      <c r="D122" s="0" t="n">
        <v>48</v>
      </c>
      <c r="E122" s="37" t="s">
        <v>620</v>
      </c>
      <c r="H122" s="29" t="s">
        <v>621</v>
      </c>
    </row>
    <row r="123" customFormat="false" ht="15" hidden="false" customHeight="false" outlineLevel="0" collapsed="false">
      <c r="A123" s="0" t="s">
        <v>721</v>
      </c>
      <c r="B123" s="0" t="s">
        <v>595</v>
      </c>
      <c r="D123" s="0" t="n">
        <v>48</v>
      </c>
      <c r="E123" s="37" t="s">
        <v>620</v>
      </c>
      <c r="H123" s="29" t="s">
        <v>621</v>
      </c>
    </row>
    <row r="124" customFormat="false" ht="15" hidden="false" customHeight="false" outlineLevel="0" collapsed="false">
      <c r="A124" s="0" t="s">
        <v>722</v>
      </c>
      <c r="B124" s="0" t="s">
        <v>595</v>
      </c>
      <c r="D124" s="0" t="n">
        <v>48</v>
      </c>
      <c r="E124" s="30" t="s">
        <v>599</v>
      </c>
      <c r="H124" s="28" t="s">
        <v>597</v>
      </c>
    </row>
    <row r="125" customFormat="false" ht="15" hidden="false" customHeight="false" outlineLevel="0" collapsed="false">
      <c r="A125" s="0" t="s">
        <v>723</v>
      </c>
      <c r="B125" s="0" t="s">
        <v>595</v>
      </c>
      <c r="D125" s="0" t="n">
        <v>47</v>
      </c>
      <c r="E125" s="30" t="s">
        <v>599</v>
      </c>
      <c r="H125" s="28" t="s">
        <v>597</v>
      </c>
    </row>
    <row r="126" customFormat="false" ht="15" hidden="false" customHeight="false" outlineLevel="0" collapsed="false">
      <c r="A126" s="0" t="s">
        <v>724</v>
      </c>
      <c r="B126" s="0" t="s">
        <v>595</v>
      </c>
      <c r="D126" s="0" t="n">
        <v>47</v>
      </c>
      <c r="E126" s="30" t="s">
        <v>599</v>
      </c>
      <c r="H126" s="28" t="s">
        <v>597</v>
      </c>
    </row>
    <row r="127" customFormat="false" ht="15" hidden="false" customHeight="false" outlineLevel="0" collapsed="false">
      <c r="A127" s="0" t="s">
        <v>725</v>
      </c>
      <c r="B127" s="0" t="s">
        <v>595</v>
      </c>
      <c r="D127" s="0" t="n">
        <v>47</v>
      </c>
      <c r="E127" s="32" t="s">
        <v>596</v>
      </c>
      <c r="H127" s="28" t="s">
        <v>597</v>
      </c>
    </row>
    <row r="128" customFormat="false" ht="15" hidden="false" customHeight="false" outlineLevel="0" collapsed="false">
      <c r="A128" s="0" t="s">
        <v>726</v>
      </c>
      <c r="B128" s="0" t="s">
        <v>595</v>
      </c>
      <c r="D128" s="0" t="n">
        <v>47</v>
      </c>
      <c r="E128" s="37" t="s">
        <v>620</v>
      </c>
      <c r="H128" s="29" t="s">
        <v>621</v>
      </c>
    </row>
    <row r="129" customFormat="false" ht="15" hidden="false" customHeight="false" outlineLevel="0" collapsed="false">
      <c r="A129" s="0" t="s">
        <v>727</v>
      </c>
      <c r="B129" s="0" t="s">
        <v>595</v>
      </c>
      <c r="D129" s="0" t="n">
        <v>47</v>
      </c>
      <c r="E129" s="37" t="s">
        <v>620</v>
      </c>
      <c r="H129" s="29" t="s">
        <v>621</v>
      </c>
    </row>
    <row r="130" customFormat="false" ht="15" hidden="false" customHeight="false" outlineLevel="0" collapsed="false">
      <c r="A130" s="0" t="s">
        <v>728</v>
      </c>
      <c r="B130" s="0" t="s">
        <v>595</v>
      </c>
      <c r="D130" s="0" t="n">
        <v>46</v>
      </c>
      <c r="E130" s="30" t="s">
        <v>599</v>
      </c>
      <c r="H130" s="28" t="s">
        <v>597</v>
      </c>
    </row>
    <row r="131" customFormat="false" ht="15" hidden="false" customHeight="false" outlineLevel="0" collapsed="false">
      <c r="A131" s="0" t="s">
        <v>729</v>
      </c>
      <c r="B131" s="0" t="s">
        <v>595</v>
      </c>
      <c r="D131" s="0" t="n">
        <v>46</v>
      </c>
      <c r="E131" s="30" t="s">
        <v>599</v>
      </c>
      <c r="H131" s="28" t="s">
        <v>597</v>
      </c>
    </row>
    <row r="132" customFormat="false" ht="15" hidden="false" customHeight="false" outlineLevel="0" collapsed="false">
      <c r="A132" s="0" t="s">
        <v>730</v>
      </c>
      <c r="B132" s="0" t="s">
        <v>595</v>
      </c>
      <c r="D132" s="0" t="n">
        <v>46</v>
      </c>
      <c r="E132" s="37" t="s">
        <v>620</v>
      </c>
      <c r="H132" s="29" t="s">
        <v>621</v>
      </c>
    </row>
    <row r="133" customFormat="false" ht="15" hidden="false" customHeight="false" outlineLevel="0" collapsed="false">
      <c r="A133" s="0" t="s">
        <v>731</v>
      </c>
      <c r="B133" s="0" t="s">
        <v>595</v>
      </c>
      <c r="D133" s="0" t="n">
        <v>45</v>
      </c>
      <c r="E133" s="37" t="s">
        <v>620</v>
      </c>
      <c r="H133" s="29" t="s">
        <v>621</v>
      </c>
    </row>
    <row r="134" customFormat="false" ht="15" hidden="false" customHeight="false" outlineLevel="0" collapsed="false">
      <c r="A134" s="0" t="s">
        <v>732</v>
      </c>
      <c r="B134" s="0" t="s">
        <v>595</v>
      </c>
      <c r="D134" s="0" t="n">
        <v>45</v>
      </c>
      <c r="E134" s="37" t="s">
        <v>620</v>
      </c>
      <c r="H134" s="29" t="s">
        <v>621</v>
      </c>
    </row>
    <row r="135" customFormat="false" ht="15" hidden="false" customHeight="false" outlineLevel="0" collapsed="false">
      <c r="A135" s="0" t="s">
        <v>733</v>
      </c>
      <c r="B135" s="0" t="s">
        <v>595</v>
      </c>
      <c r="D135" s="0" t="n">
        <v>45</v>
      </c>
      <c r="E135" s="30" t="s">
        <v>599</v>
      </c>
      <c r="H135" s="28" t="s">
        <v>597</v>
      </c>
    </row>
    <row r="136" customFormat="false" ht="15" hidden="false" customHeight="false" outlineLevel="0" collapsed="false">
      <c r="A136" s="0" t="s">
        <v>734</v>
      </c>
      <c r="B136" s="0" t="s">
        <v>595</v>
      </c>
      <c r="D136" s="0" t="n">
        <v>45</v>
      </c>
      <c r="E136" s="37" t="s">
        <v>620</v>
      </c>
      <c r="H136" s="29" t="s">
        <v>621</v>
      </c>
    </row>
    <row r="137" customFormat="false" ht="15" hidden="false" customHeight="false" outlineLevel="0" collapsed="false">
      <c r="A137" s="0" t="s">
        <v>735</v>
      </c>
      <c r="B137" s="0" t="s">
        <v>595</v>
      </c>
      <c r="D137" s="0" t="n">
        <v>45</v>
      </c>
      <c r="E137" s="37" t="s">
        <v>620</v>
      </c>
      <c r="H137" s="29" t="s">
        <v>621</v>
      </c>
    </row>
    <row r="138" customFormat="false" ht="15" hidden="false" customHeight="false" outlineLevel="0" collapsed="false">
      <c r="A138" s="0" t="s">
        <v>736</v>
      </c>
      <c r="B138" s="0" t="s">
        <v>595</v>
      </c>
      <c r="D138" s="0" t="n">
        <v>44</v>
      </c>
      <c r="E138" s="30" t="s">
        <v>599</v>
      </c>
      <c r="H138" s="28" t="s">
        <v>597</v>
      </c>
    </row>
    <row r="139" customFormat="false" ht="15" hidden="false" customHeight="false" outlineLevel="0" collapsed="false">
      <c r="A139" s="0" t="s">
        <v>737</v>
      </c>
      <c r="B139" s="0" t="s">
        <v>595</v>
      </c>
      <c r="D139" s="0" t="n">
        <v>43</v>
      </c>
      <c r="E139" s="30" t="s">
        <v>599</v>
      </c>
      <c r="H139" s="28" t="s">
        <v>597</v>
      </c>
    </row>
    <row r="140" customFormat="false" ht="15" hidden="false" customHeight="false" outlineLevel="0" collapsed="false">
      <c r="A140" s="0" t="s">
        <v>738</v>
      </c>
      <c r="B140" s="0" t="s">
        <v>595</v>
      </c>
      <c r="D140" s="0" t="n">
        <v>43</v>
      </c>
      <c r="E140" s="37" t="s">
        <v>620</v>
      </c>
      <c r="H140" s="29" t="s">
        <v>621</v>
      </c>
    </row>
    <row r="141" customFormat="false" ht="15" hidden="false" customHeight="false" outlineLevel="0" collapsed="false">
      <c r="A141" s="0" t="s">
        <v>739</v>
      </c>
      <c r="B141" s="0" t="s">
        <v>595</v>
      </c>
      <c r="D141" s="0" t="n">
        <v>43</v>
      </c>
      <c r="E141" s="37" t="s">
        <v>620</v>
      </c>
      <c r="H141" s="29" t="s">
        <v>621</v>
      </c>
    </row>
    <row r="142" customFormat="false" ht="15" hidden="false" customHeight="false" outlineLevel="0" collapsed="false">
      <c r="A142" s="0" t="s">
        <v>740</v>
      </c>
      <c r="B142" s="0" t="s">
        <v>595</v>
      </c>
      <c r="D142" s="0" t="n">
        <v>42</v>
      </c>
      <c r="E142" s="37" t="s">
        <v>620</v>
      </c>
      <c r="H142" s="29" t="s">
        <v>621</v>
      </c>
    </row>
    <row r="143" customFormat="false" ht="15" hidden="false" customHeight="false" outlineLevel="0" collapsed="false">
      <c r="A143" s="0" t="s">
        <v>741</v>
      </c>
      <c r="B143" s="0" t="s">
        <v>595</v>
      </c>
      <c r="D143" s="0" t="n">
        <v>42</v>
      </c>
      <c r="E143" s="30" t="s">
        <v>599</v>
      </c>
      <c r="H143" s="28" t="s">
        <v>597</v>
      </c>
    </row>
    <row r="144" customFormat="false" ht="15" hidden="false" customHeight="false" outlineLevel="0" collapsed="false">
      <c r="A144" s="0" t="s">
        <v>742</v>
      </c>
      <c r="B144" s="0" t="s">
        <v>595</v>
      </c>
      <c r="D144" s="0" t="n">
        <v>41</v>
      </c>
      <c r="E144" s="30" t="s">
        <v>599</v>
      </c>
      <c r="H144" s="28" t="s">
        <v>597</v>
      </c>
    </row>
    <row r="145" customFormat="false" ht="15" hidden="false" customHeight="false" outlineLevel="0" collapsed="false">
      <c r="A145" s="0" t="s">
        <v>743</v>
      </c>
      <c r="B145" s="0" t="s">
        <v>595</v>
      </c>
      <c r="D145" s="0" t="n">
        <v>41</v>
      </c>
      <c r="E145" s="32" t="s">
        <v>596</v>
      </c>
      <c r="H145" s="28" t="s">
        <v>597</v>
      </c>
    </row>
    <row r="146" customFormat="false" ht="15" hidden="false" customHeight="false" outlineLevel="0" collapsed="false">
      <c r="A146" s="0" t="s">
        <v>744</v>
      </c>
      <c r="B146" s="0" t="s">
        <v>595</v>
      </c>
      <c r="D146" s="0" t="n">
        <v>41</v>
      </c>
      <c r="E146" s="30" t="s">
        <v>599</v>
      </c>
      <c r="H146" s="28" t="s">
        <v>597</v>
      </c>
    </row>
    <row r="147" customFormat="false" ht="15" hidden="false" customHeight="false" outlineLevel="0" collapsed="false">
      <c r="A147" s="0" t="s">
        <v>745</v>
      </c>
      <c r="B147" s="0" t="s">
        <v>595</v>
      </c>
      <c r="D147" s="0" t="n">
        <v>40</v>
      </c>
      <c r="E147" s="37" t="s">
        <v>620</v>
      </c>
      <c r="H147" s="29" t="s">
        <v>621</v>
      </c>
    </row>
    <row r="148" customFormat="false" ht="15" hidden="false" customHeight="false" outlineLevel="0" collapsed="false">
      <c r="A148" s="0" t="s">
        <v>746</v>
      </c>
      <c r="B148" s="0" t="s">
        <v>595</v>
      </c>
      <c r="D148" s="0" t="n">
        <v>40</v>
      </c>
      <c r="E148" s="37" t="s">
        <v>620</v>
      </c>
      <c r="H148" s="29" t="s">
        <v>621</v>
      </c>
    </row>
    <row r="149" customFormat="false" ht="15" hidden="false" customHeight="false" outlineLevel="0" collapsed="false">
      <c r="A149" s="0" t="s">
        <v>747</v>
      </c>
      <c r="B149" s="0" t="s">
        <v>595</v>
      </c>
      <c r="D149" s="0" t="n">
        <v>40</v>
      </c>
      <c r="E149" s="37" t="s">
        <v>620</v>
      </c>
      <c r="H149" s="29" t="s">
        <v>621</v>
      </c>
    </row>
    <row r="150" customFormat="false" ht="15" hidden="false" customHeight="false" outlineLevel="0" collapsed="false">
      <c r="A150" s="0" t="s">
        <v>748</v>
      </c>
      <c r="B150" s="0" t="s">
        <v>595</v>
      </c>
      <c r="D150" s="0" t="n">
        <v>40</v>
      </c>
      <c r="E150" s="30" t="s">
        <v>599</v>
      </c>
      <c r="H150" s="28" t="s">
        <v>597</v>
      </c>
    </row>
    <row r="151" customFormat="false" ht="15" hidden="false" customHeight="false" outlineLevel="0" collapsed="false">
      <c r="A151" s="0" t="s">
        <v>749</v>
      </c>
      <c r="B151" s="0" t="s">
        <v>595</v>
      </c>
      <c r="D151" s="0" t="n">
        <v>39</v>
      </c>
      <c r="E151" s="37" t="s">
        <v>620</v>
      </c>
      <c r="H151" s="29" t="s">
        <v>621</v>
      </c>
    </row>
    <row r="152" customFormat="false" ht="15" hidden="false" customHeight="false" outlineLevel="0" collapsed="false">
      <c r="A152" s="0" t="s">
        <v>750</v>
      </c>
      <c r="B152" s="0" t="s">
        <v>595</v>
      </c>
      <c r="D152" s="0" t="n">
        <v>39</v>
      </c>
      <c r="E152" s="37" t="s">
        <v>620</v>
      </c>
      <c r="H152" s="29" t="s">
        <v>621</v>
      </c>
    </row>
    <row r="153" customFormat="false" ht="15" hidden="false" customHeight="false" outlineLevel="0" collapsed="false">
      <c r="A153" s="0" t="s">
        <v>751</v>
      </c>
      <c r="B153" s="0" t="s">
        <v>595</v>
      </c>
      <c r="D153" s="0" t="n">
        <v>39</v>
      </c>
      <c r="E153" s="30" t="s">
        <v>599</v>
      </c>
      <c r="H153" s="28" t="s">
        <v>597</v>
      </c>
    </row>
    <row r="154" customFormat="false" ht="15" hidden="false" customHeight="false" outlineLevel="0" collapsed="false">
      <c r="A154" s="0" t="s">
        <v>752</v>
      </c>
      <c r="B154" s="0" t="s">
        <v>595</v>
      </c>
      <c r="D154" s="0" t="n">
        <v>39</v>
      </c>
      <c r="E154" s="30" t="s">
        <v>599</v>
      </c>
      <c r="H154" s="28" t="s">
        <v>597</v>
      </c>
    </row>
    <row r="155" customFormat="false" ht="15" hidden="false" customHeight="false" outlineLevel="0" collapsed="false">
      <c r="A155" s="0" t="s">
        <v>753</v>
      </c>
      <c r="B155" s="0" t="s">
        <v>595</v>
      </c>
      <c r="D155" s="0" t="n">
        <v>39</v>
      </c>
      <c r="E155" s="37" t="s">
        <v>620</v>
      </c>
      <c r="H155" s="29" t="s">
        <v>621</v>
      </c>
    </row>
    <row r="156" customFormat="false" ht="15" hidden="false" customHeight="false" outlineLevel="0" collapsed="false">
      <c r="A156" s="0" t="s">
        <v>754</v>
      </c>
      <c r="B156" s="0" t="s">
        <v>595</v>
      </c>
      <c r="D156" s="0" t="n">
        <v>39</v>
      </c>
      <c r="E156" s="30" t="s">
        <v>599</v>
      </c>
      <c r="H156" s="28" t="s">
        <v>597</v>
      </c>
    </row>
    <row r="157" customFormat="false" ht="15" hidden="false" customHeight="false" outlineLevel="0" collapsed="false">
      <c r="A157" s="0" t="s">
        <v>755</v>
      </c>
      <c r="B157" s="0" t="s">
        <v>595</v>
      </c>
      <c r="D157" s="0" t="n">
        <v>39</v>
      </c>
      <c r="E157" s="37" t="s">
        <v>620</v>
      </c>
      <c r="H157" s="29" t="s">
        <v>621</v>
      </c>
    </row>
    <row r="158" customFormat="false" ht="15" hidden="false" customHeight="false" outlineLevel="0" collapsed="false">
      <c r="A158" s="0" t="s">
        <v>756</v>
      </c>
      <c r="B158" s="0" t="s">
        <v>595</v>
      </c>
      <c r="D158" s="0" t="n">
        <v>38</v>
      </c>
      <c r="E158" s="37" t="s">
        <v>620</v>
      </c>
      <c r="H158" s="29" t="s">
        <v>621</v>
      </c>
    </row>
    <row r="159" customFormat="false" ht="15" hidden="false" customHeight="false" outlineLevel="0" collapsed="false">
      <c r="A159" s="0" t="s">
        <v>757</v>
      </c>
      <c r="B159" s="0" t="s">
        <v>595</v>
      </c>
      <c r="D159" s="0" t="n">
        <v>38</v>
      </c>
      <c r="E159" s="37" t="s">
        <v>620</v>
      </c>
      <c r="H159" s="29" t="s">
        <v>621</v>
      </c>
    </row>
    <row r="160" customFormat="false" ht="15" hidden="false" customHeight="false" outlineLevel="0" collapsed="false">
      <c r="A160" s="0" t="s">
        <v>758</v>
      </c>
      <c r="B160" s="0" t="s">
        <v>595</v>
      </c>
      <c r="D160" s="0" t="n">
        <v>37</v>
      </c>
      <c r="E160" s="30" t="s">
        <v>599</v>
      </c>
      <c r="H160" s="28" t="s">
        <v>597</v>
      </c>
    </row>
    <row r="161" customFormat="false" ht="15" hidden="false" customHeight="false" outlineLevel="0" collapsed="false">
      <c r="A161" s="0" t="s">
        <v>759</v>
      </c>
      <c r="B161" s="0" t="s">
        <v>595</v>
      </c>
      <c r="D161" s="0" t="n">
        <v>37</v>
      </c>
      <c r="E161" s="32" t="s">
        <v>596</v>
      </c>
      <c r="H161" s="28" t="s">
        <v>597</v>
      </c>
    </row>
    <row r="162" customFormat="false" ht="15" hidden="false" customHeight="false" outlineLevel="0" collapsed="false">
      <c r="A162" s="0" t="s">
        <v>760</v>
      </c>
      <c r="B162" s="0" t="s">
        <v>595</v>
      </c>
      <c r="D162" s="0" t="n">
        <v>36</v>
      </c>
      <c r="E162" s="32" t="s">
        <v>596</v>
      </c>
      <c r="H162" s="28" t="s">
        <v>597</v>
      </c>
    </row>
    <row r="163" customFormat="false" ht="15" hidden="false" customHeight="false" outlineLevel="0" collapsed="false">
      <c r="A163" s="0" t="s">
        <v>761</v>
      </c>
      <c r="B163" s="0" t="s">
        <v>595</v>
      </c>
      <c r="D163" s="0" t="n">
        <v>36</v>
      </c>
      <c r="E163" s="37" t="s">
        <v>620</v>
      </c>
      <c r="H163" s="29" t="s">
        <v>621</v>
      </c>
    </row>
    <row r="164" customFormat="false" ht="15" hidden="false" customHeight="false" outlineLevel="0" collapsed="false">
      <c r="A164" s="0" t="s">
        <v>762</v>
      </c>
      <c r="B164" s="0" t="s">
        <v>595</v>
      </c>
      <c r="D164" s="0" t="n">
        <v>36</v>
      </c>
      <c r="E164" s="30" t="s">
        <v>599</v>
      </c>
      <c r="H164" s="28" t="s">
        <v>597</v>
      </c>
    </row>
    <row r="165" customFormat="false" ht="15" hidden="false" customHeight="false" outlineLevel="0" collapsed="false">
      <c r="A165" s="0" t="s">
        <v>763</v>
      </c>
      <c r="B165" s="0" t="s">
        <v>595</v>
      </c>
      <c r="D165" s="0" t="n">
        <v>36</v>
      </c>
      <c r="E165" s="37" t="s">
        <v>620</v>
      </c>
      <c r="H165" s="29" t="s">
        <v>621</v>
      </c>
    </row>
    <row r="166" customFormat="false" ht="15" hidden="false" customHeight="false" outlineLevel="0" collapsed="false">
      <c r="A166" s="0" t="s">
        <v>764</v>
      </c>
      <c r="B166" s="0" t="s">
        <v>595</v>
      </c>
      <c r="D166" s="0" t="n">
        <v>36</v>
      </c>
      <c r="E166" s="30" t="s">
        <v>599</v>
      </c>
      <c r="H166" s="28" t="s">
        <v>597</v>
      </c>
    </row>
    <row r="167" customFormat="false" ht="15" hidden="false" customHeight="false" outlineLevel="0" collapsed="false">
      <c r="A167" s="0" t="s">
        <v>765</v>
      </c>
      <c r="B167" s="0" t="s">
        <v>595</v>
      </c>
      <c r="D167" s="0" t="n">
        <v>36</v>
      </c>
      <c r="E167" s="37" t="s">
        <v>620</v>
      </c>
      <c r="H167" s="29" t="s">
        <v>621</v>
      </c>
    </row>
    <row r="168" customFormat="false" ht="15" hidden="false" customHeight="false" outlineLevel="0" collapsed="false">
      <c r="A168" s="0" t="s">
        <v>766</v>
      </c>
      <c r="B168" s="0" t="s">
        <v>595</v>
      </c>
      <c r="D168" s="0" t="n">
        <v>36</v>
      </c>
      <c r="E168" s="37" t="s">
        <v>620</v>
      </c>
      <c r="H168" s="29" t="s">
        <v>621</v>
      </c>
    </row>
    <row r="169" customFormat="false" ht="15" hidden="false" customHeight="false" outlineLevel="0" collapsed="false">
      <c r="A169" s="0" t="s">
        <v>767</v>
      </c>
      <c r="B169" s="0" t="s">
        <v>595</v>
      </c>
      <c r="D169" s="0" t="n">
        <v>36</v>
      </c>
      <c r="E169" s="37" t="s">
        <v>620</v>
      </c>
      <c r="H169" s="29" t="s">
        <v>621</v>
      </c>
    </row>
    <row r="170" customFormat="false" ht="15" hidden="false" customHeight="false" outlineLevel="0" collapsed="false">
      <c r="A170" s="0" t="s">
        <v>768</v>
      </c>
      <c r="B170" s="0" t="s">
        <v>595</v>
      </c>
      <c r="D170" s="0" t="n">
        <v>36</v>
      </c>
      <c r="E170" s="37" t="s">
        <v>620</v>
      </c>
      <c r="H170" s="29" t="s">
        <v>621</v>
      </c>
    </row>
    <row r="171" customFormat="false" ht="15" hidden="false" customHeight="false" outlineLevel="0" collapsed="false">
      <c r="A171" s="0" t="s">
        <v>769</v>
      </c>
      <c r="B171" s="0" t="s">
        <v>595</v>
      </c>
      <c r="D171" s="0" t="n">
        <v>35</v>
      </c>
      <c r="E171" s="32" t="s">
        <v>596</v>
      </c>
      <c r="H171" s="28" t="s">
        <v>597</v>
      </c>
    </row>
    <row r="172" customFormat="false" ht="15" hidden="false" customHeight="false" outlineLevel="0" collapsed="false">
      <c r="A172" s="0" t="s">
        <v>770</v>
      </c>
      <c r="B172" s="0" t="s">
        <v>595</v>
      </c>
      <c r="D172" s="0" t="n">
        <v>35</v>
      </c>
      <c r="E172" s="37" t="s">
        <v>620</v>
      </c>
      <c r="H172" s="29" t="s">
        <v>621</v>
      </c>
    </row>
    <row r="173" customFormat="false" ht="15" hidden="false" customHeight="false" outlineLevel="0" collapsed="false">
      <c r="A173" s="0" t="s">
        <v>771</v>
      </c>
      <c r="B173" s="0" t="s">
        <v>595</v>
      </c>
      <c r="D173" s="0" t="n">
        <v>35</v>
      </c>
      <c r="E173" s="30" t="s">
        <v>599</v>
      </c>
      <c r="H173" s="28" t="s">
        <v>597</v>
      </c>
    </row>
    <row r="174" customFormat="false" ht="15" hidden="false" customHeight="false" outlineLevel="0" collapsed="false">
      <c r="A174" s="0" t="s">
        <v>772</v>
      </c>
      <c r="B174" s="0" t="s">
        <v>595</v>
      </c>
      <c r="D174" s="0" t="n">
        <v>35</v>
      </c>
      <c r="E174" s="30" t="s">
        <v>599</v>
      </c>
      <c r="H174" s="28" t="s">
        <v>597</v>
      </c>
    </row>
    <row r="175" customFormat="false" ht="15" hidden="false" customHeight="false" outlineLevel="0" collapsed="false">
      <c r="A175" s="0" t="s">
        <v>773</v>
      </c>
      <c r="B175" s="0" t="s">
        <v>595</v>
      </c>
      <c r="D175" s="0" t="n">
        <v>35</v>
      </c>
      <c r="E175" s="30" t="s">
        <v>599</v>
      </c>
      <c r="H175" s="28" t="s">
        <v>597</v>
      </c>
    </row>
    <row r="176" customFormat="false" ht="15" hidden="false" customHeight="false" outlineLevel="0" collapsed="false">
      <c r="A176" s="0" t="s">
        <v>774</v>
      </c>
      <c r="B176" s="0" t="s">
        <v>595</v>
      </c>
      <c r="D176" s="0" t="n">
        <v>34</v>
      </c>
      <c r="E176" s="30" t="s">
        <v>599</v>
      </c>
      <c r="H176" s="28" t="s">
        <v>597</v>
      </c>
    </row>
    <row r="177" customFormat="false" ht="15" hidden="false" customHeight="false" outlineLevel="0" collapsed="false">
      <c r="A177" s="0" t="s">
        <v>775</v>
      </c>
      <c r="B177" s="0" t="s">
        <v>595</v>
      </c>
      <c r="D177" s="0" t="n">
        <v>34</v>
      </c>
      <c r="E177" s="30" t="s">
        <v>599</v>
      </c>
      <c r="H177" s="28" t="s">
        <v>597</v>
      </c>
    </row>
    <row r="178" customFormat="false" ht="15" hidden="false" customHeight="false" outlineLevel="0" collapsed="false">
      <c r="A178" s="0" t="s">
        <v>776</v>
      </c>
      <c r="B178" s="0" t="s">
        <v>595</v>
      </c>
      <c r="D178" s="0" t="n">
        <v>34</v>
      </c>
      <c r="E178" s="30" t="s">
        <v>599</v>
      </c>
      <c r="H178" s="28" t="s">
        <v>597</v>
      </c>
    </row>
    <row r="179" customFormat="false" ht="15" hidden="false" customHeight="false" outlineLevel="0" collapsed="false">
      <c r="A179" s="0" t="s">
        <v>777</v>
      </c>
      <c r="B179" s="0" t="s">
        <v>595</v>
      </c>
      <c r="D179" s="0" t="n">
        <v>34</v>
      </c>
      <c r="E179" s="30" t="s">
        <v>599</v>
      </c>
      <c r="H179" s="28" t="s">
        <v>597</v>
      </c>
    </row>
    <row r="180" customFormat="false" ht="15" hidden="false" customHeight="false" outlineLevel="0" collapsed="false">
      <c r="A180" s="0" t="s">
        <v>778</v>
      </c>
      <c r="B180" s="0" t="s">
        <v>595</v>
      </c>
      <c r="D180" s="0" t="n">
        <v>33</v>
      </c>
      <c r="E180" s="32" t="s">
        <v>596</v>
      </c>
      <c r="H180" s="28" t="s">
        <v>597</v>
      </c>
    </row>
    <row r="181" customFormat="false" ht="15" hidden="false" customHeight="false" outlineLevel="0" collapsed="false">
      <c r="A181" s="0" t="s">
        <v>779</v>
      </c>
      <c r="B181" s="0" t="s">
        <v>595</v>
      </c>
      <c r="D181" s="0" t="n">
        <v>33</v>
      </c>
      <c r="E181" s="30" t="s">
        <v>599</v>
      </c>
      <c r="H181" s="28" t="s">
        <v>597</v>
      </c>
    </row>
    <row r="182" customFormat="false" ht="15" hidden="false" customHeight="false" outlineLevel="0" collapsed="false">
      <c r="A182" s="0" t="s">
        <v>780</v>
      </c>
      <c r="B182" s="0" t="s">
        <v>595</v>
      </c>
      <c r="D182" s="0" t="n">
        <v>33</v>
      </c>
      <c r="E182" s="30" t="s">
        <v>599</v>
      </c>
      <c r="H182" s="28" t="s">
        <v>597</v>
      </c>
    </row>
    <row r="183" customFormat="false" ht="15" hidden="false" customHeight="false" outlineLevel="0" collapsed="false">
      <c r="A183" s="0" t="s">
        <v>781</v>
      </c>
      <c r="B183" s="0" t="s">
        <v>595</v>
      </c>
      <c r="D183" s="0" t="n">
        <v>33</v>
      </c>
      <c r="E183" s="37" t="s">
        <v>620</v>
      </c>
      <c r="H183" s="29" t="s">
        <v>621</v>
      </c>
    </row>
    <row r="184" customFormat="false" ht="15" hidden="false" customHeight="false" outlineLevel="0" collapsed="false">
      <c r="A184" s="0" t="s">
        <v>782</v>
      </c>
      <c r="B184" s="0" t="s">
        <v>595</v>
      </c>
      <c r="D184" s="0" t="n">
        <v>33</v>
      </c>
      <c r="E184" s="37" t="s">
        <v>620</v>
      </c>
      <c r="H184" s="29" t="s">
        <v>621</v>
      </c>
    </row>
    <row r="185" customFormat="false" ht="15" hidden="false" customHeight="false" outlineLevel="0" collapsed="false">
      <c r="A185" s="0" t="s">
        <v>783</v>
      </c>
      <c r="B185" s="0" t="s">
        <v>595</v>
      </c>
      <c r="D185" s="0" t="n">
        <v>33</v>
      </c>
      <c r="E185" s="37" t="s">
        <v>620</v>
      </c>
      <c r="H185" s="29" t="s">
        <v>621</v>
      </c>
    </row>
    <row r="186" customFormat="false" ht="15" hidden="false" customHeight="false" outlineLevel="0" collapsed="false">
      <c r="A186" s="0" t="s">
        <v>784</v>
      </c>
      <c r="B186" s="0" t="s">
        <v>595</v>
      </c>
      <c r="D186" s="0" t="n">
        <v>33</v>
      </c>
      <c r="E186" s="30" t="s">
        <v>599</v>
      </c>
      <c r="H186" s="28" t="s">
        <v>597</v>
      </c>
    </row>
    <row r="187" customFormat="false" ht="15" hidden="false" customHeight="false" outlineLevel="0" collapsed="false">
      <c r="A187" s="0" t="s">
        <v>785</v>
      </c>
      <c r="B187" s="0" t="s">
        <v>595</v>
      </c>
      <c r="D187" s="0" t="n">
        <v>33</v>
      </c>
      <c r="E187" s="30" t="s">
        <v>599</v>
      </c>
      <c r="H187" s="28" t="s">
        <v>597</v>
      </c>
    </row>
    <row r="188" customFormat="false" ht="15" hidden="false" customHeight="false" outlineLevel="0" collapsed="false">
      <c r="A188" s="0" t="s">
        <v>786</v>
      </c>
      <c r="B188" s="0" t="s">
        <v>595</v>
      </c>
      <c r="D188" s="0" t="n">
        <v>33</v>
      </c>
      <c r="E188" s="37" t="s">
        <v>620</v>
      </c>
      <c r="H188" s="29" t="s">
        <v>621</v>
      </c>
    </row>
    <row r="189" customFormat="false" ht="15" hidden="false" customHeight="false" outlineLevel="0" collapsed="false">
      <c r="A189" s="0" t="s">
        <v>787</v>
      </c>
      <c r="B189" s="0" t="s">
        <v>595</v>
      </c>
      <c r="D189" s="0" t="n">
        <v>32</v>
      </c>
      <c r="E189" s="37" t="s">
        <v>620</v>
      </c>
      <c r="H189" s="29" t="s">
        <v>621</v>
      </c>
    </row>
    <row r="190" customFormat="false" ht="15" hidden="false" customHeight="false" outlineLevel="0" collapsed="false">
      <c r="A190" s="0" t="s">
        <v>788</v>
      </c>
      <c r="B190" s="0" t="s">
        <v>595</v>
      </c>
      <c r="D190" s="0" t="n">
        <v>32</v>
      </c>
      <c r="E190" s="30" t="s">
        <v>599</v>
      </c>
      <c r="H190" s="28" t="s">
        <v>597</v>
      </c>
    </row>
    <row r="191" customFormat="false" ht="15" hidden="false" customHeight="false" outlineLevel="0" collapsed="false">
      <c r="A191" s="0" t="s">
        <v>789</v>
      </c>
      <c r="B191" s="0" t="s">
        <v>595</v>
      </c>
      <c r="D191" s="0" t="n">
        <v>32</v>
      </c>
      <c r="E191" s="32" t="s">
        <v>596</v>
      </c>
      <c r="H191" s="28" t="s">
        <v>597</v>
      </c>
    </row>
    <row r="192" customFormat="false" ht="15" hidden="false" customHeight="false" outlineLevel="0" collapsed="false">
      <c r="A192" s="0" t="s">
        <v>790</v>
      </c>
      <c r="B192" s="0" t="s">
        <v>595</v>
      </c>
      <c r="D192" s="0" t="n">
        <v>32</v>
      </c>
      <c r="E192" s="30" t="s">
        <v>599</v>
      </c>
      <c r="H192" s="28" t="s">
        <v>597</v>
      </c>
    </row>
    <row r="193" customFormat="false" ht="15" hidden="false" customHeight="false" outlineLevel="0" collapsed="false">
      <c r="A193" s="0" t="s">
        <v>791</v>
      </c>
      <c r="B193" s="0" t="s">
        <v>595</v>
      </c>
      <c r="D193" s="0" t="n">
        <v>32</v>
      </c>
      <c r="E193" s="30" t="s">
        <v>599</v>
      </c>
      <c r="H193" s="28" t="s">
        <v>597</v>
      </c>
    </row>
    <row r="194" customFormat="false" ht="15" hidden="false" customHeight="false" outlineLevel="0" collapsed="false">
      <c r="A194" s="0" t="s">
        <v>792</v>
      </c>
      <c r="B194" s="0" t="s">
        <v>595</v>
      </c>
      <c r="D194" s="0" t="n">
        <v>32</v>
      </c>
      <c r="E194" s="37" t="s">
        <v>620</v>
      </c>
      <c r="H194" s="29" t="s">
        <v>621</v>
      </c>
    </row>
    <row r="195" customFormat="false" ht="15" hidden="false" customHeight="false" outlineLevel="0" collapsed="false">
      <c r="A195" s="0" t="s">
        <v>793</v>
      </c>
      <c r="B195" s="0" t="s">
        <v>595</v>
      </c>
      <c r="D195" s="0" t="n">
        <v>32</v>
      </c>
      <c r="E195" s="30" t="s">
        <v>599</v>
      </c>
      <c r="H195" s="28" t="s">
        <v>597</v>
      </c>
    </row>
    <row r="196" customFormat="false" ht="15" hidden="false" customHeight="false" outlineLevel="0" collapsed="false">
      <c r="A196" s="0" t="s">
        <v>794</v>
      </c>
      <c r="B196" s="0" t="s">
        <v>595</v>
      </c>
      <c r="D196" s="0" t="n">
        <v>32</v>
      </c>
      <c r="E196" s="37" t="s">
        <v>620</v>
      </c>
      <c r="H196" s="29" t="s">
        <v>621</v>
      </c>
    </row>
    <row r="197" customFormat="false" ht="15" hidden="false" customHeight="false" outlineLevel="0" collapsed="false">
      <c r="A197" s="0" t="s">
        <v>795</v>
      </c>
      <c r="B197" s="0" t="s">
        <v>595</v>
      </c>
      <c r="D197" s="0" t="n">
        <v>31</v>
      </c>
      <c r="E197" s="30" t="s">
        <v>599</v>
      </c>
      <c r="H197" s="28" t="s">
        <v>597</v>
      </c>
    </row>
    <row r="198" customFormat="false" ht="15" hidden="false" customHeight="false" outlineLevel="0" collapsed="false">
      <c r="A198" s="0" t="s">
        <v>796</v>
      </c>
      <c r="B198" s="0" t="s">
        <v>595</v>
      </c>
      <c r="D198" s="0" t="n">
        <v>31</v>
      </c>
      <c r="E198" s="30" t="s">
        <v>599</v>
      </c>
      <c r="H198" s="28" t="s">
        <v>597</v>
      </c>
    </row>
    <row r="199" customFormat="false" ht="15" hidden="false" customHeight="false" outlineLevel="0" collapsed="false">
      <c r="A199" s="0" t="s">
        <v>797</v>
      </c>
      <c r="B199" s="0" t="s">
        <v>595</v>
      </c>
      <c r="D199" s="0" t="n">
        <v>31</v>
      </c>
      <c r="E199" s="32" t="s">
        <v>596</v>
      </c>
      <c r="H199" s="28" t="s">
        <v>597</v>
      </c>
    </row>
    <row r="200" customFormat="false" ht="15" hidden="false" customHeight="false" outlineLevel="0" collapsed="false">
      <c r="A200" s="0" t="s">
        <v>798</v>
      </c>
      <c r="B200" s="0" t="s">
        <v>595</v>
      </c>
      <c r="D200" s="0" t="n">
        <v>31</v>
      </c>
      <c r="E200" s="30" t="s">
        <v>599</v>
      </c>
      <c r="H200" s="28" t="s">
        <v>597</v>
      </c>
    </row>
  </sheetData>
  <autoFilter ref="A1:I2"/>
  <conditionalFormatting sqref="D2:D500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E2:E500">
    <cfRule type="expression" priority="3" aboveAverage="0" equalAverage="0" bottom="0" percent="0" rank="0" text="" dxfId="11">
      <formula>EXACT($E2,"PBN/spam")</formula>
    </cfRule>
    <cfRule type="expression" priority="4" aboveAverage="0" equalAverage="0" bottom="0" percent="0" rank="0" text="" dxfId="10">
      <formula>EXACT($E2,"editorial")</formula>
    </cfRule>
  </conditionalFormatting>
  <conditionalFormatting sqref="H2:H500">
    <cfRule type="expression" priority="5" aboveAverage="0" equalAverage="0" bottom="0" percent="0" rank="0" text="" dxfId="14">
      <formula>EXACT($H2,"YES")</formula>
    </cfRule>
    <cfRule type="expression" priority="6" aboveAverage="0" equalAverage="0" bottom="0" percent="0" rank="0" text="" dxfId="15">
      <formula>EXACT($H2,"SUBMITTED")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55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21" t="s">
        <v>799</v>
      </c>
      <c r="B1" s="21" t="s">
        <v>800</v>
      </c>
      <c r="C1" s="21" t="s">
        <v>96</v>
      </c>
      <c r="D1" s="21" t="s">
        <v>98</v>
      </c>
      <c r="E1" s="21" t="s">
        <v>801</v>
      </c>
      <c r="F1" s="21" t="s">
        <v>94</v>
      </c>
      <c r="G1" s="21" t="s">
        <v>167</v>
      </c>
    </row>
    <row r="2" customFormat="false" ht="60" hidden="false" customHeight="true" outlineLevel="0" collapsed="false">
      <c r="A2" s="4" t="s">
        <v>802</v>
      </c>
      <c r="B2" s="4" t="s">
        <v>803</v>
      </c>
      <c r="C2" s="38" t="s">
        <v>804</v>
      </c>
      <c r="D2" s="26" t="s">
        <v>119</v>
      </c>
      <c r="E2" s="0" t="s">
        <v>805</v>
      </c>
      <c r="F2" s="26" t="s">
        <v>104</v>
      </c>
      <c r="G2" s="4" t="s">
        <v>806</v>
      </c>
    </row>
    <row r="3" customFormat="false" ht="60" hidden="false" customHeight="true" outlineLevel="0" collapsed="false">
      <c r="A3" s="4" t="s">
        <v>807</v>
      </c>
      <c r="B3" s="4" t="s">
        <v>803</v>
      </c>
      <c r="C3" s="38" t="s">
        <v>804</v>
      </c>
      <c r="D3" s="26" t="s">
        <v>119</v>
      </c>
      <c r="E3" s="0" t="s">
        <v>805</v>
      </c>
      <c r="F3" s="26" t="s">
        <v>104</v>
      </c>
      <c r="G3" s="4" t="s">
        <v>808</v>
      </c>
    </row>
    <row r="4" customFormat="false" ht="60" hidden="false" customHeight="true" outlineLevel="0" collapsed="false">
      <c r="A4" s="4" t="s">
        <v>809</v>
      </c>
      <c r="B4" s="4" t="s">
        <v>803</v>
      </c>
      <c r="C4" s="38" t="s">
        <v>804</v>
      </c>
      <c r="D4" s="26" t="s">
        <v>119</v>
      </c>
      <c r="E4" s="0" t="s">
        <v>805</v>
      </c>
      <c r="F4" s="26" t="s">
        <v>104</v>
      </c>
      <c r="G4" s="4" t="s">
        <v>810</v>
      </c>
    </row>
    <row r="5" customFormat="false" ht="60" hidden="false" customHeight="true" outlineLevel="0" collapsed="false">
      <c r="A5" s="4" t="s">
        <v>811</v>
      </c>
      <c r="B5" s="4" t="s">
        <v>803</v>
      </c>
      <c r="C5" s="38" t="s">
        <v>804</v>
      </c>
      <c r="D5" s="26" t="s">
        <v>105</v>
      </c>
      <c r="E5" s="0" t="s">
        <v>812</v>
      </c>
      <c r="F5" s="26" t="s">
        <v>104</v>
      </c>
      <c r="G5" s="4" t="s">
        <v>813</v>
      </c>
    </row>
    <row r="6" customFormat="false" ht="60" hidden="false" customHeight="true" outlineLevel="0" collapsed="false">
      <c r="A6" s="4" t="s">
        <v>814</v>
      </c>
      <c r="B6" s="4" t="s">
        <v>815</v>
      </c>
      <c r="C6" s="38" t="s">
        <v>804</v>
      </c>
      <c r="D6" s="26" t="s">
        <v>112</v>
      </c>
      <c r="E6" s="0" t="s">
        <v>816</v>
      </c>
      <c r="F6" s="26" t="s">
        <v>104</v>
      </c>
      <c r="G6" s="4" t="s">
        <v>817</v>
      </c>
    </row>
    <row r="7" customFormat="false" ht="60" hidden="false" customHeight="true" outlineLevel="0" collapsed="false">
      <c r="A7" s="4" t="s">
        <v>818</v>
      </c>
      <c r="B7" s="4" t="s">
        <v>364</v>
      </c>
      <c r="C7" s="39" t="s">
        <v>819</v>
      </c>
      <c r="D7" s="26" t="s">
        <v>112</v>
      </c>
      <c r="E7" s="0" t="s">
        <v>820</v>
      </c>
      <c r="F7" s="26" t="s">
        <v>104</v>
      </c>
      <c r="G7" s="4" t="s">
        <v>821</v>
      </c>
    </row>
    <row r="8" customFormat="false" ht="60" hidden="false" customHeight="true" outlineLevel="0" collapsed="false">
      <c r="A8" s="4" t="s">
        <v>822</v>
      </c>
      <c r="B8" s="4" t="s">
        <v>200</v>
      </c>
      <c r="C8" s="39" t="s">
        <v>819</v>
      </c>
      <c r="D8" s="26" t="s">
        <v>105</v>
      </c>
      <c r="E8" s="0" t="s">
        <v>820</v>
      </c>
      <c r="F8" s="26" t="s">
        <v>104</v>
      </c>
      <c r="G8" s="4" t="s">
        <v>823</v>
      </c>
    </row>
    <row r="9" customFormat="false" ht="60" hidden="false" customHeight="true" outlineLevel="0" collapsed="false">
      <c r="A9" s="4" t="s">
        <v>824</v>
      </c>
      <c r="B9" s="4" t="s">
        <v>200</v>
      </c>
      <c r="C9" s="39" t="s">
        <v>819</v>
      </c>
      <c r="D9" s="26" t="s">
        <v>105</v>
      </c>
      <c r="E9" s="0" t="s">
        <v>816</v>
      </c>
      <c r="F9" s="26" t="s">
        <v>104</v>
      </c>
      <c r="G9" s="4" t="s">
        <v>825</v>
      </c>
    </row>
    <row r="10" customFormat="false" ht="60" hidden="false" customHeight="true" outlineLevel="0" collapsed="false">
      <c r="A10" s="4" t="s">
        <v>826</v>
      </c>
      <c r="B10" s="4" t="s">
        <v>288</v>
      </c>
      <c r="C10" s="39" t="s">
        <v>819</v>
      </c>
      <c r="D10" s="26" t="s">
        <v>112</v>
      </c>
      <c r="E10" s="0" t="s">
        <v>816</v>
      </c>
      <c r="F10" s="26" t="s">
        <v>104</v>
      </c>
      <c r="G10" s="4" t="s">
        <v>827</v>
      </c>
    </row>
    <row r="11" customFormat="false" ht="60" hidden="false" customHeight="true" outlineLevel="0" collapsed="false">
      <c r="A11" s="4" t="s">
        <v>828</v>
      </c>
      <c r="B11" s="4" t="s">
        <v>829</v>
      </c>
      <c r="C11" s="39" t="s">
        <v>819</v>
      </c>
      <c r="D11" s="26" t="s">
        <v>119</v>
      </c>
      <c r="E11" s="0" t="s">
        <v>820</v>
      </c>
      <c r="F11" s="26" t="s">
        <v>104</v>
      </c>
      <c r="G11" s="4" t="s">
        <v>830</v>
      </c>
    </row>
    <row r="12" customFormat="false" ht="60" hidden="false" customHeight="true" outlineLevel="0" collapsed="false">
      <c r="A12" s="4" t="s">
        <v>831</v>
      </c>
      <c r="B12" s="4" t="s">
        <v>832</v>
      </c>
      <c r="C12" s="39" t="s">
        <v>819</v>
      </c>
      <c r="D12" s="26" t="s">
        <v>105</v>
      </c>
      <c r="E12" s="0" t="s">
        <v>816</v>
      </c>
      <c r="F12" s="26" t="s">
        <v>104</v>
      </c>
      <c r="G12" s="4" t="s">
        <v>833</v>
      </c>
    </row>
    <row r="13" customFormat="false" ht="60" hidden="false" customHeight="true" outlineLevel="0" collapsed="false">
      <c r="A13" s="4" t="s">
        <v>834</v>
      </c>
      <c r="B13" s="4" t="s">
        <v>835</v>
      </c>
      <c r="C13" s="40" t="s">
        <v>836</v>
      </c>
      <c r="D13" s="26" t="s">
        <v>119</v>
      </c>
      <c r="E13" s="0" t="s">
        <v>816</v>
      </c>
      <c r="F13" s="26" t="s">
        <v>104</v>
      </c>
      <c r="G13" s="4" t="s">
        <v>837</v>
      </c>
    </row>
    <row r="14" customFormat="false" ht="60" hidden="false" customHeight="true" outlineLevel="0" collapsed="false">
      <c r="A14" s="4" t="s">
        <v>838</v>
      </c>
      <c r="B14" s="4" t="s">
        <v>839</v>
      </c>
      <c r="C14" s="40" t="s">
        <v>836</v>
      </c>
      <c r="D14" s="26" t="s">
        <v>105</v>
      </c>
      <c r="E14" s="0" t="s">
        <v>820</v>
      </c>
      <c r="F14" s="26" t="s">
        <v>104</v>
      </c>
      <c r="G14" s="4" t="s">
        <v>840</v>
      </c>
    </row>
    <row r="15" customFormat="false" ht="60" hidden="false" customHeight="true" outlineLevel="0" collapsed="false">
      <c r="A15" s="4" t="s">
        <v>841</v>
      </c>
      <c r="B15" s="4" t="s">
        <v>168</v>
      </c>
      <c r="C15" s="40" t="s">
        <v>836</v>
      </c>
      <c r="D15" s="26" t="s">
        <v>119</v>
      </c>
      <c r="E15" s="0" t="s">
        <v>842</v>
      </c>
      <c r="F15" s="26" t="s">
        <v>104</v>
      </c>
      <c r="G15" s="4" t="s">
        <v>843</v>
      </c>
    </row>
    <row r="16" customFormat="false" ht="60" hidden="false" customHeight="true" outlineLevel="0" collapsed="false">
      <c r="A16" s="4" t="s">
        <v>844</v>
      </c>
      <c r="B16" s="4" t="s">
        <v>803</v>
      </c>
      <c r="C16" s="40" t="s">
        <v>836</v>
      </c>
      <c r="D16" s="26" t="s">
        <v>105</v>
      </c>
      <c r="E16" s="0" t="s">
        <v>845</v>
      </c>
      <c r="F16" s="26" t="s">
        <v>104</v>
      </c>
      <c r="G16" s="4" t="s">
        <v>846</v>
      </c>
    </row>
    <row r="17" customFormat="false" ht="60" hidden="false" customHeight="true" outlineLevel="0" collapsed="false">
      <c r="A17" s="4" t="s">
        <v>847</v>
      </c>
      <c r="B17" s="4" t="s">
        <v>346</v>
      </c>
      <c r="C17" s="41" t="s">
        <v>848</v>
      </c>
      <c r="D17" s="26" t="s">
        <v>112</v>
      </c>
      <c r="E17" s="0" t="s">
        <v>849</v>
      </c>
      <c r="F17" s="26" t="s">
        <v>104</v>
      </c>
      <c r="G17" s="4" t="s">
        <v>850</v>
      </c>
    </row>
    <row r="18" customFormat="false" ht="60" hidden="false" customHeight="true" outlineLevel="0" collapsed="false">
      <c r="A18" s="4" t="s">
        <v>851</v>
      </c>
      <c r="B18" s="4" t="s">
        <v>852</v>
      </c>
      <c r="C18" s="41" t="s">
        <v>848</v>
      </c>
      <c r="D18" s="26" t="s">
        <v>105</v>
      </c>
      <c r="E18" s="0" t="s">
        <v>849</v>
      </c>
      <c r="F18" s="26" t="s">
        <v>104</v>
      </c>
      <c r="G18" s="4" t="s">
        <v>853</v>
      </c>
    </row>
    <row r="19" customFormat="false" ht="15" hidden="false" customHeight="false" outlineLevel="0" collapsed="false">
      <c r="D19" s="26"/>
      <c r="F19" s="26"/>
    </row>
    <row r="20" customFormat="false" ht="15" hidden="false" customHeight="false" outlineLevel="0" collapsed="false">
      <c r="D20" s="26"/>
      <c r="F20" s="26"/>
    </row>
    <row r="21" customFormat="false" ht="15" hidden="false" customHeight="false" outlineLevel="0" collapsed="false">
      <c r="D21" s="26"/>
      <c r="F21" s="26"/>
    </row>
    <row r="22" customFormat="false" ht="15" hidden="false" customHeight="false" outlineLevel="0" collapsed="false">
      <c r="D22" s="26"/>
      <c r="F22" s="26"/>
    </row>
    <row r="23" customFormat="false" ht="15" hidden="false" customHeight="false" outlineLevel="0" collapsed="false">
      <c r="D23" s="26"/>
      <c r="F23" s="26"/>
    </row>
    <row r="24" customFormat="false" ht="15" hidden="false" customHeight="false" outlineLevel="0" collapsed="false">
      <c r="D24" s="26"/>
      <c r="F24" s="26"/>
    </row>
    <row r="25" customFormat="false" ht="15" hidden="false" customHeight="false" outlineLevel="0" collapsed="false">
      <c r="D25" s="26"/>
      <c r="F25" s="26"/>
    </row>
    <row r="26" customFormat="false" ht="15" hidden="false" customHeight="false" outlineLevel="0" collapsed="false">
      <c r="D26" s="26"/>
      <c r="F26" s="26"/>
    </row>
    <row r="27" customFormat="false" ht="15" hidden="false" customHeight="false" outlineLevel="0" collapsed="false">
      <c r="D27" s="26"/>
      <c r="F27" s="26"/>
    </row>
    <row r="28" customFormat="false" ht="15" hidden="false" customHeight="false" outlineLevel="0" collapsed="false">
      <c r="D28" s="26"/>
      <c r="F28" s="26"/>
    </row>
    <row r="29" customFormat="false" ht="15" hidden="false" customHeight="false" outlineLevel="0" collapsed="false">
      <c r="D29" s="26"/>
      <c r="F29" s="26"/>
    </row>
    <row r="30" customFormat="false" ht="15" hidden="false" customHeight="false" outlineLevel="0" collapsed="false">
      <c r="D30" s="26"/>
      <c r="F30" s="26"/>
    </row>
    <row r="31" customFormat="false" ht="15" hidden="false" customHeight="false" outlineLevel="0" collapsed="false">
      <c r="D31" s="26"/>
      <c r="F31" s="26"/>
    </row>
    <row r="32" customFormat="false" ht="15" hidden="false" customHeight="false" outlineLevel="0" collapsed="false">
      <c r="D32" s="26"/>
      <c r="F32" s="26"/>
    </row>
    <row r="33" customFormat="false" ht="15" hidden="false" customHeight="false" outlineLevel="0" collapsed="false">
      <c r="D33" s="26"/>
      <c r="F33" s="26"/>
    </row>
    <row r="34" customFormat="false" ht="15" hidden="false" customHeight="false" outlineLevel="0" collapsed="false">
      <c r="D34" s="26"/>
      <c r="F34" s="26"/>
    </row>
    <row r="35" customFormat="false" ht="15" hidden="false" customHeight="false" outlineLevel="0" collapsed="false">
      <c r="D35" s="26"/>
      <c r="F35" s="26"/>
    </row>
    <row r="36" customFormat="false" ht="15" hidden="false" customHeight="false" outlineLevel="0" collapsed="false">
      <c r="D36" s="26"/>
      <c r="F36" s="26"/>
    </row>
    <row r="37" customFormat="false" ht="15" hidden="false" customHeight="false" outlineLevel="0" collapsed="false">
      <c r="D37" s="26"/>
      <c r="F37" s="26"/>
    </row>
    <row r="38" customFormat="false" ht="15" hidden="false" customHeight="false" outlineLevel="0" collapsed="false">
      <c r="D38" s="26"/>
      <c r="F38" s="26"/>
    </row>
    <row r="39" customFormat="false" ht="15" hidden="false" customHeight="false" outlineLevel="0" collapsed="false">
      <c r="D39" s="26"/>
      <c r="F39" s="26"/>
    </row>
    <row r="40" customFormat="false" ht="15" hidden="false" customHeight="false" outlineLevel="0" collapsed="false">
      <c r="D40" s="26"/>
      <c r="F40" s="26"/>
    </row>
    <row r="41" customFormat="false" ht="15" hidden="false" customHeight="false" outlineLevel="0" collapsed="false">
      <c r="D41" s="26"/>
      <c r="F41" s="26"/>
    </row>
    <row r="42" customFormat="false" ht="15" hidden="false" customHeight="false" outlineLevel="0" collapsed="false">
      <c r="D42" s="26"/>
      <c r="F42" s="26"/>
    </row>
    <row r="43" customFormat="false" ht="15" hidden="false" customHeight="false" outlineLevel="0" collapsed="false">
      <c r="D43" s="26"/>
      <c r="F43" s="26"/>
    </row>
    <row r="44" customFormat="false" ht="15" hidden="false" customHeight="false" outlineLevel="0" collapsed="false">
      <c r="D44" s="26"/>
      <c r="F44" s="26"/>
    </row>
    <row r="45" customFormat="false" ht="15" hidden="false" customHeight="false" outlineLevel="0" collapsed="false">
      <c r="D45" s="26"/>
      <c r="F45" s="26"/>
    </row>
    <row r="46" customFormat="false" ht="15" hidden="false" customHeight="false" outlineLevel="0" collapsed="false">
      <c r="D46" s="26"/>
      <c r="F46" s="26"/>
    </row>
    <row r="47" customFormat="false" ht="15" hidden="false" customHeight="false" outlineLevel="0" collapsed="false">
      <c r="D47" s="26"/>
      <c r="F47" s="26"/>
    </row>
    <row r="48" customFormat="false" ht="15" hidden="false" customHeight="false" outlineLevel="0" collapsed="false">
      <c r="D48" s="26"/>
      <c r="F48" s="26"/>
    </row>
    <row r="49" customFormat="false" ht="15" hidden="false" customHeight="false" outlineLevel="0" collapsed="false">
      <c r="D49" s="26"/>
      <c r="F49" s="26"/>
    </row>
    <row r="50" customFormat="false" ht="15" hidden="false" customHeight="false" outlineLevel="0" collapsed="false">
      <c r="D50" s="26"/>
      <c r="F50" s="26"/>
    </row>
    <row r="51" customFormat="false" ht="15" hidden="false" customHeight="false" outlineLevel="0" collapsed="false">
      <c r="D51" s="26"/>
      <c r="F51" s="26"/>
    </row>
    <row r="52" customFormat="false" ht="15" hidden="false" customHeight="false" outlineLevel="0" collapsed="false">
      <c r="D52" s="26"/>
      <c r="F52" s="26"/>
    </row>
    <row r="53" customFormat="false" ht="15" hidden="false" customHeight="false" outlineLevel="0" collapsed="false">
      <c r="D53" s="26"/>
      <c r="F53" s="26"/>
    </row>
    <row r="54" customFormat="false" ht="15" hidden="false" customHeight="false" outlineLevel="0" collapsed="false">
      <c r="D54" s="26"/>
      <c r="F54" s="26"/>
    </row>
    <row r="55" customFormat="false" ht="15" hidden="false" customHeight="false" outlineLevel="0" collapsed="false">
      <c r="D55" s="26"/>
      <c r="F55" s="26"/>
    </row>
    <row r="56" customFormat="false" ht="15" hidden="false" customHeight="false" outlineLevel="0" collapsed="false">
      <c r="D56" s="26"/>
      <c r="F56" s="26"/>
    </row>
    <row r="57" customFormat="false" ht="15" hidden="false" customHeight="false" outlineLevel="0" collapsed="false">
      <c r="D57" s="26"/>
      <c r="F57" s="26"/>
    </row>
    <row r="58" customFormat="false" ht="15" hidden="false" customHeight="false" outlineLevel="0" collapsed="false">
      <c r="D58" s="26"/>
      <c r="F58" s="26"/>
    </row>
    <row r="59" customFormat="false" ht="15" hidden="false" customHeight="false" outlineLevel="0" collapsed="false">
      <c r="D59" s="26"/>
      <c r="F59" s="26"/>
    </row>
    <row r="60" customFormat="false" ht="15" hidden="false" customHeight="false" outlineLevel="0" collapsed="false">
      <c r="D60" s="26"/>
      <c r="F60" s="26"/>
    </row>
    <row r="61" customFormat="false" ht="15" hidden="false" customHeight="false" outlineLevel="0" collapsed="false">
      <c r="D61" s="26"/>
      <c r="F61" s="26"/>
    </row>
    <row r="62" customFormat="false" ht="15" hidden="false" customHeight="false" outlineLevel="0" collapsed="false">
      <c r="D62" s="26"/>
      <c r="F62" s="26"/>
    </row>
    <row r="63" customFormat="false" ht="15" hidden="false" customHeight="false" outlineLevel="0" collapsed="false">
      <c r="D63" s="26"/>
      <c r="F63" s="26"/>
    </row>
    <row r="64" customFormat="false" ht="15" hidden="false" customHeight="false" outlineLevel="0" collapsed="false">
      <c r="D64" s="26"/>
      <c r="F64" s="26"/>
    </row>
    <row r="65" customFormat="false" ht="15" hidden="false" customHeight="false" outlineLevel="0" collapsed="false">
      <c r="D65" s="26"/>
      <c r="F65" s="26"/>
    </row>
    <row r="66" customFormat="false" ht="15" hidden="false" customHeight="false" outlineLevel="0" collapsed="false">
      <c r="D66" s="26"/>
      <c r="F66" s="26"/>
    </row>
    <row r="67" customFormat="false" ht="15" hidden="false" customHeight="false" outlineLevel="0" collapsed="false">
      <c r="D67" s="26"/>
      <c r="F67" s="26"/>
    </row>
    <row r="68" customFormat="false" ht="15" hidden="false" customHeight="false" outlineLevel="0" collapsed="false">
      <c r="D68" s="26"/>
      <c r="F68" s="26"/>
    </row>
    <row r="69" customFormat="false" ht="15" hidden="false" customHeight="false" outlineLevel="0" collapsed="false">
      <c r="D69" s="26"/>
      <c r="F69" s="26"/>
    </row>
    <row r="70" customFormat="false" ht="15" hidden="false" customHeight="false" outlineLevel="0" collapsed="false">
      <c r="D70" s="26"/>
      <c r="F70" s="26"/>
    </row>
    <row r="71" customFormat="false" ht="15" hidden="false" customHeight="false" outlineLevel="0" collapsed="false">
      <c r="D71" s="26"/>
      <c r="F71" s="26"/>
    </row>
    <row r="72" customFormat="false" ht="15" hidden="false" customHeight="false" outlineLevel="0" collapsed="false">
      <c r="D72" s="26"/>
      <c r="F72" s="26"/>
    </row>
    <row r="73" customFormat="false" ht="15" hidden="false" customHeight="false" outlineLevel="0" collapsed="false">
      <c r="D73" s="26"/>
      <c r="F73" s="26"/>
    </row>
    <row r="74" customFormat="false" ht="15" hidden="false" customHeight="false" outlineLevel="0" collapsed="false">
      <c r="D74" s="26"/>
      <c r="F74" s="26"/>
    </row>
    <row r="75" customFormat="false" ht="15" hidden="false" customHeight="false" outlineLevel="0" collapsed="false">
      <c r="D75" s="26"/>
      <c r="F75" s="26"/>
    </row>
    <row r="76" customFormat="false" ht="15" hidden="false" customHeight="false" outlineLevel="0" collapsed="false">
      <c r="D76" s="26"/>
      <c r="F76" s="26"/>
    </row>
    <row r="77" customFormat="false" ht="15" hidden="false" customHeight="false" outlineLevel="0" collapsed="false">
      <c r="D77" s="26"/>
      <c r="F77" s="26"/>
    </row>
    <row r="78" customFormat="false" ht="15" hidden="false" customHeight="false" outlineLevel="0" collapsed="false">
      <c r="D78" s="26"/>
      <c r="F78" s="26"/>
    </row>
    <row r="79" customFormat="false" ht="15" hidden="false" customHeight="false" outlineLevel="0" collapsed="false">
      <c r="D79" s="26"/>
      <c r="F79" s="26"/>
    </row>
    <row r="80" customFormat="false" ht="15" hidden="false" customHeight="false" outlineLevel="0" collapsed="false">
      <c r="D80" s="26"/>
      <c r="F80" s="26"/>
    </row>
    <row r="81" customFormat="false" ht="15" hidden="false" customHeight="false" outlineLevel="0" collapsed="false">
      <c r="D81" s="26"/>
      <c r="F81" s="26"/>
    </row>
    <row r="82" customFormat="false" ht="15" hidden="false" customHeight="false" outlineLevel="0" collapsed="false">
      <c r="D82" s="26"/>
      <c r="F82" s="26"/>
    </row>
    <row r="83" customFormat="false" ht="15" hidden="false" customHeight="false" outlineLevel="0" collapsed="false">
      <c r="D83" s="26"/>
      <c r="F83" s="26"/>
    </row>
    <row r="84" customFormat="false" ht="15" hidden="false" customHeight="false" outlineLevel="0" collapsed="false">
      <c r="D84" s="26"/>
      <c r="F84" s="26"/>
    </row>
    <row r="85" customFormat="false" ht="15" hidden="false" customHeight="false" outlineLevel="0" collapsed="false">
      <c r="D85" s="26"/>
      <c r="F85" s="26"/>
    </row>
    <row r="86" customFormat="false" ht="15" hidden="false" customHeight="false" outlineLevel="0" collapsed="false">
      <c r="D86" s="26"/>
      <c r="F86" s="26"/>
    </row>
    <row r="87" customFormat="false" ht="15" hidden="false" customHeight="false" outlineLevel="0" collapsed="false">
      <c r="D87" s="26"/>
      <c r="F87" s="26"/>
    </row>
    <row r="88" customFormat="false" ht="15" hidden="false" customHeight="false" outlineLevel="0" collapsed="false">
      <c r="D88" s="26"/>
      <c r="F88" s="26"/>
    </row>
    <row r="89" customFormat="false" ht="15" hidden="false" customHeight="false" outlineLevel="0" collapsed="false">
      <c r="D89" s="26"/>
      <c r="F89" s="26"/>
    </row>
    <row r="90" customFormat="false" ht="15" hidden="false" customHeight="false" outlineLevel="0" collapsed="false">
      <c r="D90" s="26"/>
      <c r="F90" s="26"/>
    </row>
    <row r="91" customFormat="false" ht="15" hidden="false" customHeight="false" outlineLevel="0" collapsed="false">
      <c r="D91" s="26"/>
      <c r="F91" s="26"/>
    </row>
    <row r="92" customFormat="false" ht="15" hidden="false" customHeight="false" outlineLevel="0" collapsed="false">
      <c r="D92" s="26"/>
      <c r="F92" s="26"/>
    </row>
    <row r="93" customFormat="false" ht="15" hidden="false" customHeight="false" outlineLevel="0" collapsed="false">
      <c r="D93" s="26"/>
      <c r="F93" s="26"/>
    </row>
    <row r="94" customFormat="false" ht="15" hidden="false" customHeight="false" outlineLevel="0" collapsed="false">
      <c r="D94" s="26"/>
      <c r="F94" s="26"/>
    </row>
    <row r="95" customFormat="false" ht="15" hidden="false" customHeight="false" outlineLevel="0" collapsed="false">
      <c r="D95" s="26"/>
      <c r="F95" s="26"/>
    </row>
    <row r="96" customFormat="false" ht="15" hidden="false" customHeight="false" outlineLevel="0" collapsed="false">
      <c r="D96" s="26"/>
      <c r="F96" s="26"/>
    </row>
    <row r="97" customFormat="false" ht="15" hidden="false" customHeight="false" outlineLevel="0" collapsed="false">
      <c r="D97" s="26"/>
      <c r="F97" s="26"/>
    </row>
    <row r="98" customFormat="false" ht="15" hidden="false" customHeight="false" outlineLevel="0" collapsed="false">
      <c r="D98" s="26"/>
      <c r="F98" s="26"/>
    </row>
    <row r="99" customFormat="false" ht="15" hidden="false" customHeight="false" outlineLevel="0" collapsed="false">
      <c r="D99" s="26"/>
      <c r="F99" s="26"/>
    </row>
    <row r="100" customFormat="false" ht="15" hidden="false" customHeight="false" outlineLevel="0" collapsed="false">
      <c r="D100" s="26"/>
      <c r="F100" s="26"/>
    </row>
    <row r="101" customFormat="false" ht="15" hidden="false" customHeight="false" outlineLevel="0" collapsed="false">
      <c r="D101" s="26"/>
      <c r="F101" s="26"/>
    </row>
    <row r="102" customFormat="false" ht="15" hidden="false" customHeight="false" outlineLevel="0" collapsed="false">
      <c r="D102" s="26"/>
      <c r="F102" s="26"/>
    </row>
    <row r="103" customFormat="false" ht="15" hidden="false" customHeight="false" outlineLevel="0" collapsed="false">
      <c r="D103" s="26"/>
      <c r="F103" s="26"/>
    </row>
    <row r="104" customFormat="false" ht="15" hidden="false" customHeight="false" outlineLevel="0" collapsed="false">
      <c r="D104" s="26"/>
      <c r="F104" s="26"/>
    </row>
    <row r="105" customFormat="false" ht="15" hidden="false" customHeight="false" outlineLevel="0" collapsed="false">
      <c r="D105" s="26"/>
      <c r="F105" s="26"/>
    </row>
    <row r="106" customFormat="false" ht="15" hidden="false" customHeight="false" outlineLevel="0" collapsed="false">
      <c r="D106" s="26"/>
      <c r="F106" s="26"/>
    </row>
    <row r="107" customFormat="false" ht="15" hidden="false" customHeight="false" outlineLevel="0" collapsed="false">
      <c r="D107" s="26"/>
      <c r="F107" s="26"/>
    </row>
    <row r="108" customFormat="false" ht="15" hidden="false" customHeight="false" outlineLevel="0" collapsed="false">
      <c r="D108" s="26"/>
      <c r="F108" s="26"/>
    </row>
    <row r="109" customFormat="false" ht="15" hidden="false" customHeight="false" outlineLevel="0" collapsed="false">
      <c r="D109" s="26"/>
      <c r="F109" s="26"/>
    </row>
    <row r="110" customFormat="false" ht="15" hidden="false" customHeight="false" outlineLevel="0" collapsed="false">
      <c r="D110" s="26"/>
      <c r="F110" s="26"/>
    </row>
    <row r="111" customFormat="false" ht="15" hidden="false" customHeight="false" outlineLevel="0" collapsed="false">
      <c r="D111" s="26"/>
      <c r="F111" s="26"/>
    </row>
    <row r="112" customFormat="false" ht="15" hidden="false" customHeight="false" outlineLevel="0" collapsed="false">
      <c r="D112" s="26"/>
      <c r="F112" s="26"/>
    </row>
    <row r="113" customFormat="false" ht="15" hidden="false" customHeight="false" outlineLevel="0" collapsed="false">
      <c r="D113" s="26"/>
      <c r="F113" s="26"/>
    </row>
    <row r="114" customFormat="false" ht="15" hidden="false" customHeight="false" outlineLevel="0" collapsed="false">
      <c r="D114" s="26"/>
      <c r="F114" s="26"/>
    </row>
    <row r="115" customFormat="false" ht="15" hidden="false" customHeight="false" outlineLevel="0" collapsed="false">
      <c r="D115" s="26"/>
      <c r="F115" s="26"/>
    </row>
    <row r="116" customFormat="false" ht="15" hidden="false" customHeight="false" outlineLevel="0" collapsed="false">
      <c r="D116" s="26"/>
      <c r="F116" s="26"/>
    </row>
    <row r="117" customFormat="false" ht="15" hidden="false" customHeight="false" outlineLevel="0" collapsed="false">
      <c r="D117" s="26"/>
      <c r="F117" s="26"/>
    </row>
    <row r="118" customFormat="false" ht="15" hidden="false" customHeight="false" outlineLevel="0" collapsed="false">
      <c r="D118" s="26"/>
      <c r="F118" s="26"/>
    </row>
    <row r="119" customFormat="false" ht="15" hidden="false" customHeight="false" outlineLevel="0" collapsed="false">
      <c r="D119" s="26"/>
      <c r="F119" s="26"/>
    </row>
    <row r="120" customFormat="false" ht="15" hidden="false" customHeight="false" outlineLevel="0" collapsed="false">
      <c r="D120" s="26"/>
      <c r="F120" s="26"/>
    </row>
    <row r="121" customFormat="false" ht="15" hidden="false" customHeight="false" outlineLevel="0" collapsed="false">
      <c r="D121" s="26"/>
      <c r="F121" s="26"/>
    </row>
    <row r="122" customFormat="false" ht="15" hidden="false" customHeight="false" outlineLevel="0" collapsed="false">
      <c r="D122" s="26"/>
      <c r="F122" s="26"/>
    </row>
    <row r="123" customFormat="false" ht="15" hidden="false" customHeight="false" outlineLevel="0" collapsed="false">
      <c r="D123" s="26"/>
      <c r="F123" s="26"/>
    </row>
    <row r="124" customFormat="false" ht="15" hidden="false" customHeight="false" outlineLevel="0" collapsed="false">
      <c r="D124" s="26"/>
      <c r="F124" s="26"/>
    </row>
    <row r="125" customFormat="false" ht="15" hidden="false" customHeight="false" outlineLevel="0" collapsed="false">
      <c r="D125" s="26"/>
      <c r="F125" s="26"/>
    </row>
    <row r="126" customFormat="false" ht="15" hidden="false" customHeight="false" outlineLevel="0" collapsed="false">
      <c r="D126" s="26"/>
      <c r="F126" s="26"/>
    </row>
    <row r="127" customFormat="false" ht="15" hidden="false" customHeight="false" outlineLevel="0" collapsed="false">
      <c r="D127" s="26"/>
      <c r="F127" s="26"/>
    </row>
    <row r="128" customFormat="false" ht="15" hidden="false" customHeight="false" outlineLevel="0" collapsed="false">
      <c r="D128" s="26"/>
      <c r="F128" s="26"/>
    </row>
    <row r="129" customFormat="false" ht="15" hidden="false" customHeight="false" outlineLevel="0" collapsed="false">
      <c r="D129" s="26"/>
      <c r="F129" s="26"/>
    </row>
    <row r="130" customFormat="false" ht="15" hidden="false" customHeight="false" outlineLevel="0" collapsed="false">
      <c r="D130" s="26"/>
      <c r="F130" s="26"/>
    </row>
    <row r="131" customFormat="false" ht="15" hidden="false" customHeight="false" outlineLevel="0" collapsed="false">
      <c r="D131" s="26"/>
      <c r="F131" s="26"/>
    </row>
    <row r="132" customFormat="false" ht="15" hidden="false" customHeight="false" outlineLevel="0" collapsed="false">
      <c r="D132" s="26"/>
      <c r="F132" s="26"/>
    </row>
    <row r="133" customFormat="false" ht="15" hidden="false" customHeight="false" outlineLevel="0" collapsed="false">
      <c r="D133" s="26"/>
      <c r="F133" s="26"/>
    </row>
    <row r="134" customFormat="false" ht="15" hidden="false" customHeight="false" outlineLevel="0" collapsed="false">
      <c r="D134" s="26"/>
      <c r="F134" s="26"/>
    </row>
    <row r="135" customFormat="false" ht="15" hidden="false" customHeight="false" outlineLevel="0" collapsed="false">
      <c r="D135" s="26"/>
      <c r="F135" s="26"/>
    </row>
    <row r="136" customFormat="false" ht="15" hidden="false" customHeight="false" outlineLevel="0" collapsed="false">
      <c r="D136" s="26"/>
      <c r="F136" s="26"/>
    </row>
    <row r="137" customFormat="false" ht="15" hidden="false" customHeight="false" outlineLevel="0" collapsed="false">
      <c r="D137" s="26"/>
      <c r="F137" s="26"/>
    </row>
    <row r="138" customFormat="false" ht="15" hidden="false" customHeight="false" outlineLevel="0" collapsed="false">
      <c r="D138" s="26"/>
      <c r="F138" s="26"/>
    </row>
    <row r="139" customFormat="false" ht="15" hidden="false" customHeight="false" outlineLevel="0" collapsed="false">
      <c r="D139" s="26"/>
      <c r="F139" s="26"/>
    </row>
    <row r="140" customFormat="false" ht="15" hidden="false" customHeight="false" outlineLevel="0" collapsed="false">
      <c r="D140" s="26"/>
      <c r="F140" s="26"/>
    </row>
    <row r="141" customFormat="false" ht="15" hidden="false" customHeight="false" outlineLevel="0" collapsed="false">
      <c r="D141" s="26"/>
      <c r="F141" s="26"/>
    </row>
    <row r="142" customFormat="false" ht="15" hidden="false" customHeight="false" outlineLevel="0" collapsed="false">
      <c r="D142" s="26"/>
      <c r="F142" s="26"/>
    </row>
    <row r="143" customFormat="false" ht="15" hidden="false" customHeight="false" outlineLevel="0" collapsed="false">
      <c r="D143" s="26"/>
      <c r="F143" s="26"/>
    </row>
    <row r="144" customFormat="false" ht="15" hidden="false" customHeight="false" outlineLevel="0" collapsed="false">
      <c r="D144" s="26"/>
      <c r="F144" s="26"/>
    </row>
    <row r="145" customFormat="false" ht="15" hidden="false" customHeight="false" outlineLevel="0" collapsed="false">
      <c r="D145" s="26"/>
      <c r="F145" s="26"/>
    </row>
    <row r="146" customFormat="false" ht="15" hidden="false" customHeight="false" outlineLevel="0" collapsed="false">
      <c r="D146" s="26"/>
      <c r="F146" s="26"/>
    </row>
    <row r="147" customFormat="false" ht="15" hidden="false" customHeight="false" outlineLevel="0" collapsed="false">
      <c r="D147" s="26"/>
      <c r="F147" s="26"/>
    </row>
    <row r="148" customFormat="false" ht="15" hidden="false" customHeight="false" outlineLevel="0" collapsed="false">
      <c r="D148" s="26"/>
      <c r="F148" s="26"/>
    </row>
    <row r="149" customFormat="false" ht="15" hidden="false" customHeight="false" outlineLevel="0" collapsed="false">
      <c r="D149" s="26"/>
      <c r="F149" s="26"/>
    </row>
    <row r="150" customFormat="false" ht="15" hidden="false" customHeight="false" outlineLevel="0" collapsed="false">
      <c r="D150" s="26"/>
      <c r="F150" s="26"/>
    </row>
    <row r="151" customFormat="false" ht="15" hidden="false" customHeight="false" outlineLevel="0" collapsed="false">
      <c r="D151" s="26"/>
      <c r="F151" s="26"/>
    </row>
    <row r="152" customFormat="false" ht="15" hidden="false" customHeight="false" outlineLevel="0" collapsed="false">
      <c r="D152" s="26"/>
      <c r="F152" s="26"/>
    </row>
    <row r="153" customFormat="false" ht="15" hidden="false" customHeight="false" outlineLevel="0" collapsed="false">
      <c r="D153" s="26"/>
      <c r="F153" s="26"/>
    </row>
    <row r="154" customFormat="false" ht="15" hidden="false" customHeight="false" outlineLevel="0" collapsed="false">
      <c r="D154" s="26"/>
      <c r="F154" s="26"/>
    </row>
    <row r="155" customFormat="false" ht="15" hidden="false" customHeight="false" outlineLevel="0" collapsed="false">
      <c r="D155" s="26"/>
      <c r="F155" s="26"/>
    </row>
    <row r="156" customFormat="false" ht="15" hidden="false" customHeight="false" outlineLevel="0" collapsed="false">
      <c r="D156" s="26"/>
      <c r="F156" s="26"/>
    </row>
    <row r="157" customFormat="false" ht="15" hidden="false" customHeight="false" outlineLevel="0" collapsed="false">
      <c r="D157" s="26"/>
      <c r="F157" s="26"/>
    </row>
    <row r="158" customFormat="false" ht="15" hidden="false" customHeight="false" outlineLevel="0" collapsed="false">
      <c r="D158" s="26"/>
      <c r="F158" s="26"/>
    </row>
    <row r="159" customFormat="false" ht="15" hidden="false" customHeight="false" outlineLevel="0" collapsed="false">
      <c r="D159" s="26"/>
      <c r="F159" s="26"/>
    </row>
    <row r="160" customFormat="false" ht="15" hidden="false" customHeight="false" outlineLevel="0" collapsed="false">
      <c r="D160" s="26"/>
      <c r="F160" s="26"/>
    </row>
    <row r="161" customFormat="false" ht="15" hidden="false" customHeight="false" outlineLevel="0" collapsed="false">
      <c r="D161" s="26"/>
      <c r="F161" s="26"/>
    </row>
    <row r="162" customFormat="false" ht="15" hidden="false" customHeight="false" outlineLevel="0" collapsed="false">
      <c r="D162" s="26"/>
      <c r="F162" s="26"/>
    </row>
    <row r="163" customFormat="false" ht="15" hidden="false" customHeight="false" outlineLevel="0" collapsed="false">
      <c r="D163" s="26"/>
      <c r="F163" s="26"/>
    </row>
    <row r="164" customFormat="false" ht="15" hidden="false" customHeight="false" outlineLevel="0" collapsed="false">
      <c r="D164" s="26"/>
      <c r="F164" s="26"/>
    </row>
    <row r="165" customFormat="false" ht="15" hidden="false" customHeight="false" outlineLevel="0" collapsed="false">
      <c r="D165" s="26"/>
      <c r="F165" s="26"/>
    </row>
    <row r="166" customFormat="false" ht="15" hidden="false" customHeight="false" outlineLevel="0" collapsed="false">
      <c r="D166" s="26"/>
      <c r="F166" s="26"/>
    </row>
    <row r="167" customFormat="false" ht="15" hidden="false" customHeight="false" outlineLevel="0" collapsed="false">
      <c r="D167" s="26"/>
      <c r="F167" s="26"/>
    </row>
    <row r="168" customFormat="false" ht="15" hidden="false" customHeight="false" outlineLevel="0" collapsed="false">
      <c r="D168" s="26"/>
      <c r="F168" s="26"/>
    </row>
    <row r="169" customFormat="false" ht="15" hidden="false" customHeight="false" outlineLevel="0" collapsed="false">
      <c r="D169" s="26"/>
      <c r="F169" s="26"/>
    </row>
    <row r="170" customFormat="false" ht="15" hidden="false" customHeight="false" outlineLevel="0" collapsed="false">
      <c r="D170" s="26"/>
      <c r="F170" s="26"/>
    </row>
    <row r="171" customFormat="false" ht="15" hidden="false" customHeight="false" outlineLevel="0" collapsed="false">
      <c r="D171" s="26"/>
      <c r="F171" s="26"/>
    </row>
    <row r="172" customFormat="false" ht="15" hidden="false" customHeight="false" outlineLevel="0" collapsed="false">
      <c r="D172" s="26"/>
      <c r="F172" s="26"/>
    </row>
    <row r="173" customFormat="false" ht="15" hidden="false" customHeight="false" outlineLevel="0" collapsed="false">
      <c r="D173" s="26"/>
      <c r="F173" s="26"/>
    </row>
    <row r="174" customFormat="false" ht="15" hidden="false" customHeight="false" outlineLevel="0" collapsed="false">
      <c r="D174" s="26"/>
      <c r="F174" s="26"/>
    </row>
    <row r="175" customFormat="false" ht="15" hidden="false" customHeight="false" outlineLevel="0" collapsed="false">
      <c r="D175" s="26"/>
      <c r="F175" s="26"/>
    </row>
    <row r="176" customFormat="false" ht="15" hidden="false" customHeight="false" outlineLevel="0" collapsed="false">
      <c r="D176" s="26"/>
      <c r="F176" s="26"/>
    </row>
    <row r="177" customFormat="false" ht="15" hidden="false" customHeight="false" outlineLevel="0" collapsed="false">
      <c r="D177" s="26"/>
      <c r="F177" s="26"/>
    </row>
    <row r="178" customFormat="false" ht="15" hidden="false" customHeight="false" outlineLevel="0" collapsed="false">
      <c r="D178" s="26"/>
      <c r="F178" s="26"/>
    </row>
    <row r="179" customFormat="false" ht="15" hidden="false" customHeight="false" outlineLevel="0" collapsed="false">
      <c r="D179" s="26"/>
      <c r="F179" s="26"/>
    </row>
    <row r="180" customFormat="false" ht="15" hidden="false" customHeight="false" outlineLevel="0" collapsed="false">
      <c r="D180" s="26"/>
      <c r="F180" s="26"/>
    </row>
    <row r="181" customFormat="false" ht="15" hidden="false" customHeight="false" outlineLevel="0" collapsed="false">
      <c r="D181" s="26"/>
      <c r="F181" s="26"/>
    </row>
    <row r="182" customFormat="false" ht="15" hidden="false" customHeight="false" outlineLevel="0" collapsed="false">
      <c r="D182" s="26"/>
      <c r="F182" s="26"/>
    </row>
    <row r="183" customFormat="false" ht="15" hidden="false" customHeight="false" outlineLevel="0" collapsed="false">
      <c r="D183" s="26"/>
      <c r="F183" s="26"/>
    </row>
    <row r="184" customFormat="false" ht="15" hidden="false" customHeight="false" outlineLevel="0" collapsed="false">
      <c r="D184" s="26"/>
      <c r="F184" s="26"/>
    </row>
    <row r="185" customFormat="false" ht="15" hidden="false" customHeight="false" outlineLevel="0" collapsed="false">
      <c r="D185" s="26"/>
      <c r="F185" s="26"/>
    </row>
    <row r="186" customFormat="false" ht="15" hidden="false" customHeight="false" outlineLevel="0" collapsed="false">
      <c r="D186" s="26"/>
      <c r="F186" s="26"/>
    </row>
    <row r="187" customFormat="false" ht="15" hidden="false" customHeight="false" outlineLevel="0" collapsed="false">
      <c r="D187" s="26"/>
      <c r="F187" s="26"/>
    </row>
    <row r="188" customFormat="false" ht="15" hidden="false" customHeight="false" outlineLevel="0" collapsed="false">
      <c r="D188" s="26"/>
      <c r="F188" s="26"/>
    </row>
    <row r="189" customFormat="false" ht="15" hidden="false" customHeight="false" outlineLevel="0" collapsed="false">
      <c r="D189" s="26"/>
      <c r="F189" s="26"/>
    </row>
    <row r="190" customFormat="false" ht="15" hidden="false" customHeight="false" outlineLevel="0" collapsed="false">
      <c r="D190" s="26"/>
      <c r="F190" s="26"/>
    </row>
    <row r="191" customFormat="false" ht="15" hidden="false" customHeight="false" outlineLevel="0" collapsed="false">
      <c r="D191" s="26"/>
      <c r="F191" s="26"/>
    </row>
    <row r="192" customFormat="false" ht="15" hidden="false" customHeight="false" outlineLevel="0" collapsed="false">
      <c r="D192" s="26"/>
      <c r="F192" s="26"/>
    </row>
    <row r="193" customFormat="false" ht="15" hidden="false" customHeight="false" outlineLevel="0" collapsed="false">
      <c r="D193" s="26"/>
      <c r="F193" s="26"/>
    </row>
    <row r="194" customFormat="false" ht="15" hidden="false" customHeight="false" outlineLevel="0" collapsed="false">
      <c r="D194" s="26"/>
      <c r="F194" s="26"/>
    </row>
    <row r="195" customFormat="false" ht="15" hidden="false" customHeight="false" outlineLevel="0" collapsed="false">
      <c r="D195" s="26"/>
      <c r="F195" s="26"/>
    </row>
    <row r="196" customFormat="false" ht="15" hidden="false" customHeight="false" outlineLevel="0" collapsed="false">
      <c r="D196" s="26"/>
      <c r="F196" s="26"/>
    </row>
    <row r="197" customFormat="false" ht="15" hidden="false" customHeight="false" outlineLevel="0" collapsed="false">
      <c r="D197" s="26"/>
      <c r="F197" s="26"/>
    </row>
    <row r="198" customFormat="false" ht="15" hidden="false" customHeight="false" outlineLevel="0" collapsed="false">
      <c r="D198" s="26"/>
      <c r="F198" s="26"/>
    </row>
    <row r="199" customFormat="false" ht="15" hidden="false" customHeight="false" outlineLevel="0" collapsed="false">
      <c r="D199" s="26"/>
      <c r="F199" s="26"/>
    </row>
    <row r="200" customFormat="false" ht="15" hidden="false" customHeight="false" outlineLevel="0" collapsed="false">
      <c r="D200" s="26"/>
      <c r="F200" s="26"/>
    </row>
    <row r="201" customFormat="false" ht="15" hidden="false" customHeight="false" outlineLevel="0" collapsed="false">
      <c r="D201" s="26"/>
      <c r="F201" s="26"/>
    </row>
    <row r="202" customFormat="false" ht="15" hidden="false" customHeight="false" outlineLevel="0" collapsed="false">
      <c r="D202" s="26"/>
      <c r="F202" s="26"/>
    </row>
    <row r="203" customFormat="false" ht="15" hidden="false" customHeight="false" outlineLevel="0" collapsed="false">
      <c r="D203" s="26"/>
      <c r="F203" s="26"/>
    </row>
    <row r="204" customFormat="false" ht="15" hidden="false" customHeight="false" outlineLevel="0" collapsed="false">
      <c r="D204" s="26"/>
      <c r="F204" s="26"/>
    </row>
    <row r="205" customFormat="false" ht="15" hidden="false" customHeight="false" outlineLevel="0" collapsed="false">
      <c r="D205" s="26"/>
      <c r="F205" s="26"/>
    </row>
    <row r="206" customFormat="false" ht="15" hidden="false" customHeight="false" outlineLevel="0" collapsed="false">
      <c r="D206" s="26"/>
      <c r="F206" s="26"/>
    </row>
    <row r="207" customFormat="false" ht="15" hidden="false" customHeight="false" outlineLevel="0" collapsed="false">
      <c r="D207" s="26"/>
      <c r="F207" s="26"/>
    </row>
    <row r="208" customFormat="false" ht="15" hidden="false" customHeight="false" outlineLevel="0" collapsed="false">
      <c r="D208" s="26"/>
      <c r="F208" s="26"/>
    </row>
    <row r="209" customFormat="false" ht="15" hidden="false" customHeight="false" outlineLevel="0" collapsed="false">
      <c r="D209" s="26"/>
      <c r="F209" s="26"/>
    </row>
    <row r="210" customFormat="false" ht="15" hidden="false" customHeight="false" outlineLevel="0" collapsed="false">
      <c r="D210" s="26"/>
      <c r="F210" s="26"/>
    </row>
    <row r="211" customFormat="false" ht="15" hidden="false" customHeight="false" outlineLevel="0" collapsed="false">
      <c r="D211" s="26"/>
      <c r="F211" s="26"/>
    </row>
    <row r="212" customFormat="false" ht="15" hidden="false" customHeight="false" outlineLevel="0" collapsed="false">
      <c r="D212" s="26"/>
      <c r="F212" s="26"/>
    </row>
    <row r="213" customFormat="false" ht="15" hidden="false" customHeight="false" outlineLevel="0" collapsed="false">
      <c r="D213" s="26"/>
      <c r="F213" s="26"/>
    </row>
    <row r="214" customFormat="false" ht="15" hidden="false" customHeight="false" outlineLevel="0" collapsed="false">
      <c r="D214" s="26"/>
      <c r="F214" s="26"/>
    </row>
    <row r="215" customFormat="false" ht="15" hidden="false" customHeight="false" outlineLevel="0" collapsed="false">
      <c r="D215" s="26"/>
      <c r="F215" s="26"/>
    </row>
    <row r="216" customFormat="false" ht="15" hidden="false" customHeight="false" outlineLevel="0" collapsed="false">
      <c r="D216" s="26"/>
      <c r="F216" s="26"/>
    </row>
    <row r="217" customFormat="false" ht="15" hidden="false" customHeight="false" outlineLevel="0" collapsed="false">
      <c r="D217" s="26"/>
      <c r="F217" s="26"/>
    </row>
    <row r="218" customFormat="false" ht="15" hidden="false" customHeight="false" outlineLevel="0" collapsed="false">
      <c r="D218" s="26"/>
      <c r="F218" s="26"/>
    </row>
    <row r="219" customFormat="false" ht="15" hidden="false" customHeight="false" outlineLevel="0" collapsed="false">
      <c r="D219" s="26"/>
      <c r="F219" s="26"/>
    </row>
    <row r="220" customFormat="false" ht="15" hidden="false" customHeight="false" outlineLevel="0" collapsed="false">
      <c r="D220" s="26"/>
      <c r="F220" s="26"/>
    </row>
    <row r="221" customFormat="false" ht="15" hidden="false" customHeight="false" outlineLevel="0" collapsed="false">
      <c r="D221" s="26"/>
      <c r="F221" s="26"/>
    </row>
    <row r="222" customFormat="false" ht="15" hidden="false" customHeight="false" outlineLevel="0" collapsed="false">
      <c r="D222" s="26"/>
      <c r="F222" s="26"/>
    </row>
    <row r="223" customFormat="false" ht="15" hidden="false" customHeight="false" outlineLevel="0" collapsed="false">
      <c r="D223" s="26"/>
      <c r="F223" s="26"/>
    </row>
    <row r="224" customFormat="false" ht="15" hidden="false" customHeight="false" outlineLevel="0" collapsed="false">
      <c r="D224" s="26"/>
      <c r="F224" s="26"/>
    </row>
    <row r="225" customFormat="false" ht="15" hidden="false" customHeight="false" outlineLevel="0" collapsed="false">
      <c r="D225" s="26"/>
      <c r="F225" s="26"/>
    </row>
    <row r="226" customFormat="false" ht="15" hidden="false" customHeight="false" outlineLevel="0" collapsed="false">
      <c r="D226" s="26"/>
      <c r="F226" s="26"/>
    </row>
    <row r="227" customFormat="false" ht="15" hidden="false" customHeight="false" outlineLevel="0" collapsed="false">
      <c r="D227" s="26"/>
      <c r="F227" s="26"/>
    </row>
    <row r="228" customFormat="false" ht="15" hidden="false" customHeight="false" outlineLevel="0" collapsed="false">
      <c r="D228" s="26"/>
      <c r="F228" s="26"/>
    </row>
    <row r="229" customFormat="false" ht="15" hidden="false" customHeight="false" outlineLevel="0" collapsed="false">
      <c r="D229" s="26"/>
      <c r="F229" s="26"/>
    </row>
    <row r="230" customFormat="false" ht="15" hidden="false" customHeight="false" outlineLevel="0" collapsed="false">
      <c r="D230" s="26"/>
      <c r="F230" s="26"/>
    </row>
    <row r="231" customFormat="false" ht="15" hidden="false" customHeight="false" outlineLevel="0" collapsed="false">
      <c r="D231" s="26"/>
      <c r="F231" s="26"/>
    </row>
    <row r="232" customFormat="false" ht="15" hidden="false" customHeight="false" outlineLevel="0" collapsed="false">
      <c r="D232" s="26"/>
      <c r="F232" s="26"/>
    </row>
    <row r="233" customFormat="false" ht="15" hidden="false" customHeight="false" outlineLevel="0" collapsed="false">
      <c r="D233" s="26"/>
      <c r="F233" s="26"/>
    </row>
    <row r="234" customFormat="false" ht="15" hidden="false" customHeight="false" outlineLevel="0" collapsed="false">
      <c r="D234" s="26"/>
      <c r="F234" s="26"/>
    </row>
    <row r="235" customFormat="false" ht="15" hidden="false" customHeight="false" outlineLevel="0" collapsed="false">
      <c r="D235" s="26"/>
      <c r="F235" s="26"/>
    </row>
    <row r="236" customFormat="false" ht="15" hidden="false" customHeight="false" outlineLevel="0" collapsed="false">
      <c r="D236" s="26"/>
      <c r="F236" s="26"/>
    </row>
    <row r="237" customFormat="false" ht="15" hidden="false" customHeight="false" outlineLevel="0" collapsed="false">
      <c r="D237" s="26"/>
      <c r="F237" s="26"/>
    </row>
    <row r="238" customFormat="false" ht="15" hidden="false" customHeight="false" outlineLevel="0" collapsed="false">
      <c r="D238" s="26"/>
      <c r="F238" s="26"/>
    </row>
    <row r="239" customFormat="false" ht="15" hidden="false" customHeight="false" outlineLevel="0" collapsed="false">
      <c r="D239" s="26"/>
      <c r="F239" s="26"/>
    </row>
    <row r="240" customFormat="false" ht="15" hidden="false" customHeight="false" outlineLevel="0" collapsed="false">
      <c r="D240" s="26"/>
      <c r="F240" s="26"/>
    </row>
    <row r="241" customFormat="false" ht="15" hidden="false" customHeight="false" outlineLevel="0" collapsed="false">
      <c r="D241" s="26"/>
      <c r="F241" s="26"/>
    </row>
    <row r="242" customFormat="false" ht="15" hidden="false" customHeight="false" outlineLevel="0" collapsed="false">
      <c r="D242" s="26"/>
      <c r="F242" s="26"/>
    </row>
    <row r="243" customFormat="false" ht="15" hidden="false" customHeight="false" outlineLevel="0" collapsed="false">
      <c r="D243" s="26"/>
      <c r="F243" s="26"/>
    </row>
    <row r="244" customFormat="false" ht="15" hidden="false" customHeight="false" outlineLevel="0" collapsed="false">
      <c r="D244" s="26"/>
      <c r="F244" s="26"/>
    </row>
    <row r="245" customFormat="false" ht="15" hidden="false" customHeight="false" outlineLevel="0" collapsed="false">
      <c r="D245" s="26"/>
      <c r="F245" s="26"/>
    </row>
    <row r="246" customFormat="false" ht="15" hidden="false" customHeight="false" outlineLevel="0" collapsed="false">
      <c r="D246" s="26"/>
      <c r="F246" s="26"/>
    </row>
    <row r="247" customFormat="false" ht="15" hidden="false" customHeight="false" outlineLevel="0" collapsed="false">
      <c r="D247" s="26"/>
      <c r="F247" s="26"/>
    </row>
    <row r="248" customFormat="false" ht="15" hidden="false" customHeight="false" outlineLevel="0" collapsed="false">
      <c r="D248" s="26"/>
      <c r="F248" s="26"/>
    </row>
    <row r="249" customFormat="false" ht="15" hidden="false" customHeight="false" outlineLevel="0" collapsed="false">
      <c r="D249" s="26"/>
      <c r="F249" s="26"/>
    </row>
    <row r="250" customFormat="false" ht="15" hidden="false" customHeight="false" outlineLevel="0" collapsed="false">
      <c r="D250" s="26"/>
      <c r="F250" s="26"/>
    </row>
    <row r="251" customFormat="false" ht="15" hidden="false" customHeight="false" outlineLevel="0" collapsed="false">
      <c r="D251" s="26"/>
      <c r="F251" s="26"/>
    </row>
    <row r="252" customFormat="false" ht="15" hidden="false" customHeight="false" outlineLevel="0" collapsed="false">
      <c r="D252" s="26"/>
      <c r="F252" s="26"/>
    </row>
    <row r="253" customFormat="false" ht="15" hidden="false" customHeight="false" outlineLevel="0" collapsed="false">
      <c r="D253" s="26"/>
      <c r="F253" s="26"/>
    </row>
    <row r="254" customFormat="false" ht="15" hidden="false" customHeight="false" outlineLevel="0" collapsed="false">
      <c r="D254" s="26"/>
      <c r="F254" s="26"/>
    </row>
    <row r="255" customFormat="false" ht="15" hidden="false" customHeight="false" outlineLevel="0" collapsed="false">
      <c r="D255" s="26"/>
      <c r="F255" s="26"/>
    </row>
    <row r="256" customFormat="false" ht="15" hidden="false" customHeight="false" outlineLevel="0" collapsed="false">
      <c r="D256" s="26"/>
      <c r="F256" s="26"/>
    </row>
    <row r="257" customFormat="false" ht="15" hidden="false" customHeight="false" outlineLevel="0" collapsed="false">
      <c r="D257" s="26"/>
      <c r="F257" s="26"/>
    </row>
    <row r="258" customFormat="false" ht="15" hidden="false" customHeight="false" outlineLevel="0" collapsed="false">
      <c r="D258" s="26"/>
      <c r="F258" s="26"/>
    </row>
    <row r="259" customFormat="false" ht="15" hidden="false" customHeight="false" outlineLevel="0" collapsed="false">
      <c r="D259" s="26"/>
      <c r="F259" s="26"/>
    </row>
    <row r="260" customFormat="false" ht="15" hidden="false" customHeight="false" outlineLevel="0" collapsed="false">
      <c r="D260" s="26"/>
      <c r="F260" s="26"/>
    </row>
    <row r="261" customFormat="false" ht="15" hidden="false" customHeight="false" outlineLevel="0" collapsed="false">
      <c r="D261" s="26"/>
      <c r="F261" s="26"/>
    </row>
    <row r="262" customFormat="false" ht="15" hidden="false" customHeight="false" outlineLevel="0" collapsed="false">
      <c r="D262" s="26"/>
      <c r="F262" s="26"/>
    </row>
    <row r="263" customFormat="false" ht="15" hidden="false" customHeight="false" outlineLevel="0" collapsed="false">
      <c r="D263" s="26"/>
      <c r="F263" s="26"/>
    </row>
    <row r="264" customFormat="false" ht="15" hidden="false" customHeight="false" outlineLevel="0" collapsed="false">
      <c r="D264" s="26"/>
      <c r="F264" s="26"/>
    </row>
    <row r="265" customFormat="false" ht="15" hidden="false" customHeight="false" outlineLevel="0" collapsed="false">
      <c r="D265" s="26"/>
      <c r="F265" s="26"/>
    </row>
    <row r="266" customFormat="false" ht="15" hidden="false" customHeight="false" outlineLevel="0" collapsed="false">
      <c r="D266" s="26"/>
      <c r="F266" s="26"/>
    </row>
    <row r="267" customFormat="false" ht="15" hidden="false" customHeight="false" outlineLevel="0" collapsed="false">
      <c r="D267" s="26"/>
      <c r="F267" s="26"/>
    </row>
    <row r="268" customFormat="false" ht="15" hidden="false" customHeight="false" outlineLevel="0" collapsed="false">
      <c r="D268" s="26"/>
      <c r="F268" s="26"/>
    </row>
    <row r="269" customFormat="false" ht="15" hidden="false" customHeight="false" outlineLevel="0" collapsed="false">
      <c r="D269" s="26"/>
      <c r="F269" s="26"/>
    </row>
    <row r="270" customFormat="false" ht="15" hidden="false" customHeight="false" outlineLevel="0" collapsed="false">
      <c r="D270" s="26"/>
      <c r="F270" s="26"/>
    </row>
    <row r="271" customFormat="false" ht="15" hidden="false" customHeight="false" outlineLevel="0" collapsed="false">
      <c r="D271" s="26"/>
      <c r="F271" s="26"/>
    </row>
    <row r="272" customFormat="false" ht="15" hidden="false" customHeight="false" outlineLevel="0" collapsed="false">
      <c r="D272" s="26"/>
      <c r="F272" s="26"/>
    </row>
    <row r="273" customFormat="false" ht="15" hidden="false" customHeight="false" outlineLevel="0" collapsed="false">
      <c r="D273" s="26"/>
      <c r="F273" s="26"/>
    </row>
    <row r="274" customFormat="false" ht="15" hidden="false" customHeight="false" outlineLevel="0" collapsed="false">
      <c r="D274" s="26"/>
      <c r="F274" s="26"/>
    </row>
    <row r="275" customFormat="false" ht="15" hidden="false" customHeight="false" outlineLevel="0" collapsed="false">
      <c r="D275" s="26"/>
      <c r="F275" s="26"/>
    </row>
    <row r="276" customFormat="false" ht="15" hidden="false" customHeight="false" outlineLevel="0" collapsed="false">
      <c r="D276" s="26"/>
      <c r="F276" s="26"/>
    </row>
    <row r="277" customFormat="false" ht="15" hidden="false" customHeight="false" outlineLevel="0" collapsed="false">
      <c r="D277" s="26"/>
      <c r="F277" s="26"/>
    </row>
    <row r="278" customFormat="false" ht="15" hidden="false" customHeight="false" outlineLevel="0" collapsed="false">
      <c r="D278" s="26"/>
      <c r="F278" s="26"/>
    </row>
    <row r="279" customFormat="false" ht="15" hidden="false" customHeight="false" outlineLevel="0" collapsed="false">
      <c r="D279" s="26"/>
      <c r="F279" s="26"/>
    </row>
    <row r="280" customFormat="false" ht="15" hidden="false" customHeight="false" outlineLevel="0" collapsed="false">
      <c r="D280" s="26"/>
      <c r="F280" s="26"/>
    </row>
    <row r="281" customFormat="false" ht="15" hidden="false" customHeight="false" outlineLevel="0" collapsed="false">
      <c r="D281" s="26"/>
      <c r="F281" s="26"/>
    </row>
    <row r="282" customFormat="false" ht="15" hidden="false" customHeight="false" outlineLevel="0" collapsed="false">
      <c r="D282" s="26"/>
      <c r="F282" s="26"/>
    </row>
    <row r="283" customFormat="false" ht="15" hidden="false" customHeight="false" outlineLevel="0" collapsed="false">
      <c r="D283" s="26"/>
      <c r="F283" s="26"/>
    </row>
    <row r="284" customFormat="false" ht="15" hidden="false" customHeight="false" outlineLevel="0" collapsed="false">
      <c r="D284" s="26"/>
      <c r="F284" s="26"/>
    </row>
    <row r="285" customFormat="false" ht="15" hidden="false" customHeight="false" outlineLevel="0" collapsed="false">
      <c r="D285" s="26"/>
      <c r="F285" s="26"/>
    </row>
    <row r="286" customFormat="false" ht="15" hidden="false" customHeight="false" outlineLevel="0" collapsed="false">
      <c r="D286" s="26"/>
      <c r="F286" s="26"/>
    </row>
    <row r="287" customFormat="false" ht="15" hidden="false" customHeight="false" outlineLevel="0" collapsed="false">
      <c r="D287" s="26"/>
      <c r="F287" s="26"/>
    </row>
    <row r="288" customFormat="false" ht="15" hidden="false" customHeight="false" outlineLevel="0" collapsed="false">
      <c r="D288" s="26"/>
      <c r="F288" s="26"/>
    </row>
    <row r="289" customFormat="false" ht="15" hidden="false" customHeight="false" outlineLevel="0" collapsed="false">
      <c r="D289" s="26"/>
      <c r="F289" s="26"/>
    </row>
    <row r="290" customFormat="false" ht="15" hidden="false" customHeight="false" outlineLevel="0" collapsed="false">
      <c r="D290" s="26"/>
      <c r="F290" s="26"/>
    </row>
    <row r="291" customFormat="false" ht="15" hidden="false" customHeight="false" outlineLevel="0" collapsed="false">
      <c r="D291" s="26"/>
      <c r="F291" s="26"/>
    </row>
    <row r="292" customFormat="false" ht="15" hidden="false" customHeight="false" outlineLevel="0" collapsed="false">
      <c r="D292" s="26"/>
      <c r="F292" s="26"/>
    </row>
    <row r="293" customFormat="false" ht="15" hidden="false" customHeight="false" outlineLevel="0" collapsed="false">
      <c r="D293" s="26"/>
      <c r="F293" s="26"/>
    </row>
    <row r="294" customFormat="false" ht="15" hidden="false" customHeight="false" outlineLevel="0" collapsed="false">
      <c r="D294" s="26"/>
      <c r="F294" s="26"/>
    </row>
    <row r="295" customFormat="false" ht="15" hidden="false" customHeight="false" outlineLevel="0" collapsed="false">
      <c r="D295" s="26"/>
      <c r="F295" s="26"/>
    </row>
    <row r="296" customFormat="false" ht="15" hidden="false" customHeight="false" outlineLevel="0" collapsed="false">
      <c r="D296" s="26"/>
      <c r="F296" s="26"/>
    </row>
    <row r="297" customFormat="false" ht="15" hidden="false" customHeight="false" outlineLevel="0" collapsed="false">
      <c r="D297" s="26"/>
      <c r="F297" s="26"/>
    </row>
    <row r="298" customFormat="false" ht="15" hidden="false" customHeight="false" outlineLevel="0" collapsed="false">
      <c r="D298" s="26"/>
      <c r="F298" s="26"/>
    </row>
    <row r="299" customFormat="false" ht="15" hidden="false" customHeight="false" outlineLevel="0" collapsed="false">
      <c r="D299" s="26"/>
      <c r="F299" s="26"/>
    </row>
    <row r="300" customFormat="false" ht="15" hidden="false" customHeight="false" outlineLevel="0" collapsed="false">
      <c r="D300" s="26"/>
      <c r="F300" s="26"/>
    </row>
    <row r="301" customFormat="false" ht="15" hidden="false" customHeight="false" outlineLevel="0" collapsed="false">
      <c r="D301" s="26"/>
      <c r="F301" s="26"/>
    </row>
    <row r="302" customFormat="false" ht="15" hidden="false" customHeight="false" outlineLevel="0" collapsed="false">
      <c r="D302" s="26"/>
      <c r="F302" s="26"/>
    </row>
    <row r="303" customFormat="false" ht="15" hidden="false" customHeight="false" outlineLevel="0" collapsed="false">
      <c r="D303" s="26"/>
      <c r="F303" s="26"/>
    </row>
    <row r="304" customFormat="false" ht="15" hidden="false" customHeight="false" outlineLevel="0" collapsed="false">
      <c r="D304" s="26"/>
      <c r="F304" s="26"/>
    </row>
    <row r="305" customFormat="false" ht="15" hidden="false" customHeight="false" outlineLevel="0" collapsed="false">
      <c r="D305" s="26"/>
      <c r="F305" s="26"/>
    </row>
    <row r="306" customFormat="false" ht="15" hidden="false" customHeight="false" outlineLevel="0" collapsed="false">
      <c r="D306" s="26"/>
      <c r="F306" s="26"/>
    </row>
    <row r="307" customFormat="false" ht="15" hidden="false" customHeight="false" outlineLevel="0" collapsed="false">
      <c r="D307" s="26"/>
      <c r="F307" s="26"/>
    </row>
    <row r="308" customFormat="false" ht="15" hidden="false" customHeight="false" outlineLevel="0" collapsed="false">
      <c r="D308" s="26"/>
      <c r="F308" s="26"/>
    </row>
    <row r="309" customFormat="false" ht="15" hidden="false" customHeight="false" outlineLevel="0" collapsed="false">
      <c r="D309" s="26"/>
      <c r="F309" s="26"/>
    </row>
    <row r="310" customFormat="false" ht="15" hidden="false" customHeight="false" outlineLevel="0" collapsed="false">
      <c r="D310" s="26"/>
      <c r="F310" s="26"/>
    </row>
    <row r="311" customFormat="false" ht="15" hidden="false" customHeight="false" outlineLevel="0" collapsed="false">
      <c r="D311" s="26"/>
      <c r="F311" s="26"/>
    </row>
    <row r="312" customFormat="false" ht="15" hidden="false" customHeight="false" outlineLevel="0" collapsed="false">
      <c r="D312" s="26"/>
      <c r="F312" s="26"/>
    </row>
    <row r="313" customFormat="false" ht="15" hidden="false" customHeight="false" outlineLevel="0" collapsed="false">
      <c r="D313" s="26"/>
      <c r="F313" s="26"/>
    </row>
    <row r="314" customFormat="false" ht="15" hidden="false" customHeight="false" outlineLevel="0" collapsed="false">
      <c r="D314" s="26"/>
      <c r="F314" s="26"/>
    </row>
    <row r="315" customFormat="false" ht="15" hidden="false" customHeight="false" outlineLevel="0" collapsed="false">
      <c r="D315" s="26"/>
      <c r="F315" s="26"/>
    </row>
    <row r="316" customFormat="false" ht="15" hidden="false" customHeight="false" outlineLevel="0" collapsed="false">
      <c r="D316" s="26"/>
      <c r="F316" s="26"/>
    </row>
    <row r="317" customFormat="false" ht="15" hidden="false" customHeight="false" outlineLevel="0" collapsed="false">
      <c r="D317" s="26"/>
      <c r="F317" s="26"/>
    </row>
    <row r="318" customFormat="false" ht="15" hidden="false" customHeight="false" outlineLevel="0" collapsed="false">
      <c r="D318" s="26"/>
      <c r="F318" s="26"/>
    </row>
    <row r="319" customFormat="false" ht="15" hidden="false" customHeight="false" outlineLevel="0" collapsed="false">
      <c r="D319" s="26"/>
      <c r="F319" s="26"/>
    </row>
    <row r="320" customFormat="false" ht="15" hidden="false" customHeight="false" outlineLevel="0" collapsed="false">
      <c r="D320" s="26"/>
      <c r="F320" s="26"/>
    </row>
    <row r="321" customFormat="false" ht="15" hidden="false" customHeight="false" outlineLevel="0" collapsed="false">
      <c r="D321" s="26"/>
      <c r="F321" s="26"/>
    </row>
    <row r="322" customFormat="false" ht="15" hidden="false" customHeight="false" outlineLevel="0" collapsed="false">
      <c r="D322" s="26"/>
      <c r="F322" s="26"/>
    </row>
    <row r="323" customFormat="false" ht="15" hidden="false" customHeight="false" outlineLevel="0" collapsed="false">
      <c r="D323" s="26"/>
      <c r="F323" s="26"/>
    </row>
    <row r="324" customFormat="false" ht="15" hidden="false" customHeight="false" outlineLevel="0" collapsed="false">
      <c r="D324" s="26"/>
      <c r="F324" s="26"/>
    </row>
    <row r="325" customFormat="false" ht="15" hidden="false" customHeight="false" outlineLevel="0" collapsed="false">
      <c r="D325" s="26"/>
      <c r="F325" s="26"/>
    </row>
    <row r="326" customFormat="false" ht="15" hidden="false" customHeight="false" outlineLevel="0" collapsed="false">
      <c r="D326" s="26"/>
      <c r="F326" s="26"/>
    </row>
    <row r="327" customFormat="false" ht="15" hidden="false" customHeight="false" outlineLevel="0" collapsed="false">
      <c r="D327" s="26"/>
      <c r="F327" s="26"/>
    </row>
    <row r="328" customFormat="false" ht="15" hidden="false" customHeight="false" outlineLevel="0" collapsed="false">
      <c r="D328" s="26"/>
      <c r="F328" s="26"/>
    </row>
    <row r="329" customFormat="false" ht="15" hidden="false" customHeight="false" outlineLevel="0" collapsed="false">
      <c r="D329" s="26"/>
      <c r="F329" s="26"/>
    </row>
    <row r="330" customFormat="false" ht="15" hidden="false" customHeight="false" outlineLevel="0" collapsed="false">
      <c r="D330" s="26"/>
      <c r="F330" s="26"/>
    </row>
    <row r="331" customFormat="false" ht="15" hidden="false" customHeight="false" outlineLevel="0" collapsed="false">
      <c r="D331" s="26"/>
      <c r="F331" s="26"/>
    </row>
    <row r="332" customFormat="false" ht="15" hidden="false" customHeight="false" outlineLevel="0" collapsed="false">
      <c r="D332" s="26"/>
      <c r="F332" s="26"/>
    </row>
    <row r="333" customFormat="false" ht="15" hidden="false" customHeight="false" outlineLevel="0" collapsed="false">
      <c r="D333" s="26"/>
      <c r="F333" s="26"/>
    </row>
    <row r="334" customFormat="false" ht="15" hidden="false" customHeight="false" outlineLevel="0" collapsed="false">
      <c r="D334" s="26"/>
      <c r="F334" s="26"/>
    </row>
    <row r="335" customFormat="false" ht="15" hidden="false" customHeight="false" outlineLevel="0" collapsed="false">
      <c r="D335" s="26"/>
      <c r="F335" s="26"/>
    </row>
    <row r="336" customFormat="false" ht="15" hidden="false" customHeight="false" outlineLevel="0" collapsed="false">
      <c r="D336" s="26"/>
      <c r="F336" s="26"/>
    </row>
    <row r="337" customFormat="false" ht="15" hidden="false" customHeight="false" outlineLevel="0" collapsed="false">
      <c r="D337" s="26"/>
      <c r="F337" s="26"/>
    </row>
    <row r="338" customFormat="false" ht="15" hidden="false" customHeight="false" outlineLevel="0" collapsed="false">
      <c r="D338" s="26"/>
      <c r="F338" s="26"/>
    </row>
    <row r="339" customFormat="false" ht="15" hidden="false" customHeight="false" outlineLevel="0" collapsed="false">
      <c r="D339" s="26"/>
      <c r="F339" s="26"/>
    </row>
    <row r="340" customFormat="false" ht="15" hidden="false" customHeight="false" outlineLevel="0" collapsed="false">
      <c r="D340" s="26"/>
      <c r="F340" s="26"/>
    </row>
    <row r="341" customFormat="false" ht="15" hidden="false" customHeight="false" outlineLevel="0" collapsed="false">
      <c r="D341" s="26"/>
      <c r="F341" s="26"/>
    </row>
    <row r="342" customFormat="false" ht="15" hidden="false" customHeight="false" outlineLevel="0" collapsed="false">
      <c r="D342" s="26"/>
      <c r="F342" s="26"/>
    </row>
    <row r="343" customFormat="false" ht="15" hidden="false" customHeight="false" outlineLevel="0" collapsed="false">
      <c r="D343" s="26"/>
      <c r="F343" s="26"/>
    </row>
    <row r="344" customFormat="false" ht="15" hidden="false" customHeight="false" outlineLevel="0" collapsed="false">
      <c r="D344" s="26"/>
      <c r="F344" s="26"/>
    </row>
    <row r="345" customFormat="false" ht="15" hidden="false" customHeight="false" outlineLevel="0" collapsed="false">
      <c r="D345" s="26"/>
      <c r="F345" s="26"/>
    </row>
    <row r="346" customFormat="false" ht="15" hidden="false" customHeight="false" outlineLevel="0" collapsed="false">
      <c r="D346" s="26"/>
      <c r="F346" s="26"/>
    </row>
    <row r="347" customFormat="false" ht="15" hidden="false" customHeight="false" outlineLevel="0" collapsed="false">
      <c r="D347" s="26"/>
      <c r="F347" s="26"/>
    </row>
    <row r="348" customFormat="false" ht="15" hidden="false" customHeight="false" outlineLevel="0" collapsed="false">
      <c r="D348" s="26"/>
      <c r="F348" s="26"/>
    </row>
    <row r="349" customFormat="false" ht="15" hidden="false" customHeight="false" outlineLevel="0" collapsed="false">
      <c r="D349" s="26"/>
      <c r="F349" s="26"/>
    </row>
    <row r="350" customFormat="false" ht="15" hidden="false" customHeight="false" outlineLevel="0" collapsed="false">
      <c r="D350" s="26"/>
      <c r="F350" s="26"/>
    </row>
    <row r="351" customFormat="false" ht="15" hidden="false" customHeight="false" outlineLevel="0" collapsed="false">
      <c r="D351" s="26"/>
      <c r="F351" s="26"/>
    </row>
    <row r="352" customFormat="false" ht="15" hidden="false" customHeight="false" outlineLevel="0" collapsed="false">
      <c r="D352" s="26"/>
      <c r="F352" s="26"/>
    </row>
    <row r="353" customFormat="false" ht="15" hidden="false" customHeight="false" outlineLevel="0" collapsed="false">
      <c r="D353" s="26"/>
      <c r="F353" s="26"/>
    </row>
    <row r="354" customFormat="false" ht="15" hidden="false" customHeight="false" outlineLevel="0" collapsed="false">
      <c r="D354" s="26"/>
      <c r="F354" s="26"/>
    </row>
    <row r="355" customFormat="false" ht="15" hidden="false" customHeight="false" outlineLevel="0" collapsed="false">
      <c r="D355" s="26"/>
      <c r="F355" s="26"/>
    </row>
    <row r="356" customFormat="false" ht="15" hidden="false" customHeight="false" outlineLevel="0" collapsed="false">
      <c r="D356" s="26"/>
      <c r="F356" s="26"/>
    </row>
    <row r="357" customFormat="false" ht="15" hidden="false" customHeight="false" outlineLevel="0" collapsed="false">
      <c r="D357" s="26"/>
      <c r="F357" s="26"/>
    </row>
    <row r="358" customFormat="false" ht="15" hidden="false" customHeight="false" outlineLevel="0" collapsed="false">
      <c r="D358" s="26"/>
      <c r="F358" s="26"/>
    </row>
    <row r="359" customFormat="false" ht="15" hidden="false" customHeight="false" outlineLevel="0" collapsed="false">
      <c r="D359" s="26"/>
      <c r="F359" s="26"/>
    </row>
    <row r="360" customFormat="false" ht="15" hidden="false" customHeight="false" outlineLevel="0" collapsed="false">
      <c r="D360" s="26"/>
      <c r="F360" s="26"/>
    </row>
    <row r="361" customFormat="false" ht="15" hidden="false" customHeight="false" outlineLevel="0" collapsed="false">
      <c r="D361" s="26"/>
      <c r="F361" s="26"/>
    </row>
    <row r="362" customFormat="false" ht="15" hidden="false" customHeight="false" outlineLevel="0" collapsed="false">
      <c r="D362" s="26"/>
      <c r="F362" s="26"/>
    </row>
    <row r="363" customFormat="false" ht="15" hidden="false" customHeight="false" outlineLevel="0" collapsed="false">
      <c r="D363" s="26"/>
      <c r="F363" s="26"/>
    </row>
    <row r="364" customFormat="false" ht="15" hidden="false" customHeight="false" outlineLevel="0" collapsed="false">
      <c r="D364" s="26"/>
      <c r="F364" s="26"/>
    </row>
    <row r="365" customFormat="false" ht="15" hidden="false" customHeight="false" outlineLevel="0" collapsed="false">
      <c r="D365" s="26"/>
      <c r="F365" s="26"/>
    </row>
    <row r="366" customFormat="false" ht="15" hidden="false" customHeight="false" outlineLevel="0" collapsed="false">
      <c r="D366" s="26"/>
      <c r="F366" s="26"/>
    </row>
    <row r="367" customFormat="false" ht="15" hidden="false" customHeight="false" outlineLevel="0" collapsed="false">
      <c r="D367" s="26"/>
      <c r="F367" s="26"/>
    </row>
    <row r="368" customFormat="false" ht="15" hidden="false" customHeight="false" outlineLevel="0" collapsed="false">
      <c r="D368" s="26"/>
      <c r="F368" s="26"/>
    </row>
    <row r="369" customFormat="false" ht="15" hidden="false" customHeight="false" outlineLevel="0" collapsed="false">
      <c r="D369" s="26"/>
      <c r="F369" s="26"/>
    </row>
    <row r="370" customFormat="false" ht="15" hidden="false" customHeight="false" outlineLevel="0" collapsed="false">
      <c r="D370" s="26"/>
      <c r="F370" s="26"/>
    </row>
    <row r="371" customFormat="false" ht="15" hidden="false" customHeight="false" outlineLevel="0" collapsed="false">
      <c r="D371" s="26"/>
      <c r="F371" s="26"/>
    </row>
    <row r="372" customFormat="false" ht="15" hidden="false" customHeight="false" outlineLevel="0" collapsed="false">
      <c r="D372" s="26"/>
      <c r="F372" s="26"/>
    </row>
    <row r="373" customFormat="false" ht="15" hidden="false" customHeight="false" outlineLevel="0" collapsed="false">
      <c r="D373" s="26"/>
      <c r="F373" s="26"/>
    </row>
    <row r="374" customFormat="false" ht="15" hidden="false" customHeight="false" outlineLevel="0" collapsed="false">
      <c r="D374" s="26"/>
      <c r="F374" s="26"/>
    </row>
    <row r="375" customFormat="false" ht="15" hidden="false" customHeight="false" outlineLevel="0" collapsed="false">
      <c r="D375" s="26"/>
      <c r="F375" s="26"/>
    </row>
    <row r="376" customFormat="false" ht="15" hidden="false" customHeight="false" outlineLevel="0" collapsed="false">
      <c r="D376" s="26"/>
      <c r="F376" s="26"/>
    </row>
    <row r="377" customFormat="false" ht="15" hidden="false" customHeight="false" outlineLevel="0" collapsed="false">
      <c r="D377" s="26"/>
      <c r="F377" s="26"/>
    </row>
    <row r="378" customFormat="false" ht="15" hidden="false" customHeight="false" outlineLevel="0" collapsed="false">
      <c r="D378" s="26"/>
      <c r="F378" s="26"/>
    </row>
    <row r="379" customFormat="false" ht="15" hidden="false" customHeight="false" outlineLevel="0" collapsed="false">
      <c r="D379" s="26"/>
      <c r="F379" s="26"/>
    </row>
    <row r="380" customFormat="false" ht="15" hidden="false" customHeight="false" outlineLevel="0" collapsed="false">
      <c r="D380" s="26"/>
      <c r="F380" s="26"/>
    </row>
    <row r="381" customFormat="false" ht="15" hidden="false" customHeight="false" outlineLevel="0" collapsed="false">
      <c r="D381" s="26"/>
      <c r="F381" s="26"/>
    </row>
    <row r="382" customFormat="false" ht="15" hidden="false" customHeight="false" outlineLevel="0" collapsed="false">
      <c r="D382" s="26"/>
      <c r="F382" s="26"/>
    </row>
    <row r="383" customFormat="false" ht="15" hidden="false" customHeight="false" outlineLevel="0" collapsed="false">
      <c r="D383" s="26"/>
      <c r="F383" s="26"/>
    </row>
    <row r="384" customFormat="false" ht="15" hidden="false" customHeight="false" outlineLevel="0" collapsed="false">
      <c r="D384" s="26"/>
      <c r="F384" s="26"/>
    </row>
    <row r="385" customFormat="false" ht="15" hidden="false" customHeight="false" outlineLevel="0" collapsed="false">
      <c r="D385" s="26"/>
      <c r="F385" s="26"/>
    </row>
    <row r="386" customFormat="false" ht="15" hidden="false" customHeight="false" outlineLevel="0" collapsed="false">
      <c r="D386" s="26"/>
      <c r="F386" s="26"/>
    </row>
    <row r="387" customFormat="false" ht="15" hidden="false" customHeight="false" outlineLevel="0" collapsed="false">
      <c r="D387" s="26"/>
      <c r="F387" s="26"/>
    </row>
    <row r="388" customFormat="false" ht="15" hidden="false" customHeight="false" outlineLevel="0" collapsed="false">
      <c r="D388" s="26"/>
      <c r="F388" s="26"/>
    </row>
    <row r="389" customFormat="false" ht="15" hidden="false" customHeight="false" outlineLevel="0" collapsed="false">
      <c r="D389" s="26"/>
      <c r="F389" s="26"/>
    </row>
    <row r="390" customFormat="false" ht="15" hidden="false" customHeight="false" outlineLevel="0" collapsed="false">
      <c r="D390" s="26"/>
      <c r="F390" s="26"/>
    </row>
    <row r="391" customFormat="false" ht="15" hidden="false" customHeight="false" outlineLevel="0" collapsed="false">
      <c r="D391" s="26"/>
      <c r="F391" s="26"/>
    </row>
    <row r="392" customFormat="false" ht="15" hidden="false" customHeight="false" outlineLevel="0" collapsed="false">
      <c r="D392" s="26"/>
      <c r="F392" s="26"/>
    </row>
    <row r="393" customFormat="false" ht="15" hidden="false" customHeight="false" outlineLevel="0" collapsed="false">
      <c r="D393" s="26"/>
      <c r="F393" s="26"/>
    </row>
    <row r="394" customFormat="false" ht="15" hidden="false" customHeight="false" outlineLevel="0" collapsed="false">
      <c r="D394" s="26"/>
      <c r="F394" s="26"/>
    </row>
    <row r="395" customFormat="false" ht="15" hidden="false" customHeight="false" outlineLevel="0" collapsed="false">
      <c r="D395" s="26"/>
      <c r="F395" s="26"/>
    </row>
    <row r="396" customFormat="false" ht="15" hidden="false" customHeight="false" outlineLevel="0" collapsed="false">
      <c r="D396" s="26"/>
      <c r="F396" s="26"/>
    </row>
    <row r="397" customFormat="false" ht="15" hidden="false" customHeight="false" outlineLevel="0" collapsed="false">
      <c r="D397" s="26"/>
      <c r="F397" s="26"/>
    </row>
    <row r="398" customFormat="false" ht="15" hidden="false" customHeight="false" outlineLevel="0" collapsed="false">
      <c r="D398" s="26"/>
      <c r="F398" s="26"/>
    </row>
    <row r="399" customFormat="false" ht="15" hidden="false" customHeight="false" outlineLevel="0" collapsed="false">
      <c r="D399" s="26"/>
      <c r="F399" s="26"/>
    </row>
    <row r="400" customFormat="false" ht="15" hidden="false" customHeight="false" outlineLevel="0" collapsed="false">
      <c r="D400" s="26"/>
      <c r="F400" s="26"/>
    </row>
    <row r="401" customFormat="false" ht="15" hidden="false" customHeight="false" outlineLevel="0" collapsed="false">
      <c r="D401" s="26"/>
      <c r="F401" s="26"/>
    </row>
    <row r="402" customFormat="false" ht="15" hidden="false" customHeight="false" outlineLevel="0" collapsed="false">
      <c r="D402" s="26"/>
      <c r="F402" s="26"/>
    </row>
    <row r="403" customFormat="false" ht="15" hidden="false" customHeight="false" outlineLevel="0" collapsed="false">
      <c r="D403" s="26"/>
      <c r="F403" s="26"/>
    </row>
    <row r="404" customFormat="false" ht="15" hidden="false" customHeight="false" outlineLevel="0" collapsed="false">
      <c r="D404" s="26"/>
      <c r="F404" s="26"/>
    </row>
    <row r="405" customFormat="false" ht="15" hidden="false" customHeight="false" outlineLevel="0" collapsed="false">
      <c r="D405" s="26"/>
      <c r="F405" s="26"/>
    </row>
    <row r="406" customFormat="false" ht="15" hidden="false" customHeight="false" outlineLevel="0" collapsed="false">
      <c r="D406" s="26"/>
      <c r="F406" s="26"/>
    </row>
    <row r="407" customFormat="false" ht="15" hidden="false" customHeight="false" outlineLevel="0" collapsed="false">
      <c r="D407" s="26"/>
      <c r="F407" s="26"/>
    </row>
    <row r="408" customFormat="false" ht="15" hidden="false" customHeight="false" outlineLevel="0" collapsed="false">
      <c r="D408" s="26"/>
      <c r="F408" s="26"/>
    </row>
    <row r="409" customFormat="false" ht="15" hidden="false" customHeight="false" outlineLevel="0" collapsed="false">
      <c r="D409" s="26"/>
      <c r="F409" s="26"/>
    </row>
    <row r="410" customFormat="false" ht="15" hidden="false" customHeight="false" outlineLevel="0" collapsed="false">
      <c r="D410" s="26"/>
      <c r="F410" s="26"/>
    </row>
    <row r="411" customFormat="false" ht="15" hidden="false" customHeight="false" outlineLevel="0" collapsed="false">
      <c r="D411" s="26"/>
      <c r="F411" s="26"/>
    </row>
    <row r="412" customFormat="false" ht="15" hidden="false" customHeight="false" outlineLevel="0" collapsed="false">
      <c r="D412" s="26"/>
      <c r="F412" s="26"/>
    </row>
    <row r="413" customFormat="false" ht="15" hidden="false" customHeight="false" outlineLevel="0" collapsed="false">
      <c r="D413" s="26"/>
      <c r="F413" s="26"/>
    </row>
    <row r="414" customFormat="false" ht="15" hidden="false" customHeight="false" outlineLevel="0" collapsed="false">
      <c r="D414" s="26"/>
      <c r="F414" s="26"/>
    </row>
    <row r="415" customFormat="false" ht="15" hidden="false" customHeight="false" outlineLevel="0" collapsed="false">
      <c r="D415" s="26"/>
      <c r="F415" s="26"/>
    </row>
    <row r="416" customFormat="false" ht="15" hidden="false" customHeight="false" outlineLevel="0" collapsed="false">
      <c r="D416" s="26"/>
      <c r="F416" s="26"/>
    </row>
    <row r="417" customFormat="false" ht="15" hidden="false" customHeight="false" outlineLevel="0" collapsed="false">
      <c r="D417" s="26"/>
      <c r="F417" s="26"/>
    </row>
    <row r="418" customFormat="false" ht="15" hidden="false" customHeight="false" outlineLevel="0" collapsed="false">
      <c r="D418" s="26"/>
      <c r="F418" s="26"/>
    </row>
    <row r="419" customFormat="false" ht="15" hidden="false" customHeight="false" outlineLevel="0" collapsed="false">
      <c r="D419" s="26"/>
      <c r="F419" s="26"/>
    </row>
    <row r="420" customFormat="false" ht="15" hidden="false" customHeight="false" outlineLevel="0" collapsed="false">
      <c r="D420" s="26"/>
      <c r="F420" s="26"/>
    </row>
    <row r="421" customFormat="false" ht="15" hidden="false" customHeight="false" outlineLevel="0" collapsed="false">
      <c r="D421" s="26"/>
      <c r="F421" s="26"/>
    </row>
    <row r="422" customFormat="false" ht="15" hidden="false" customHeight="false" outlineLevel="0" collapsed="false">
      <c r="D422" s="26"/>
      <c r="F422" s="26"/>
    </row>
    <row r="423" customFormat="false" ht="15" hidden="false" customHeight="false" outlineLevel="0" collapsed="false">
      <c r="D423" s="26"/>
      <c r="F423" s="26"/>
    </row>
    <row r="424" customFormat="false" ht="15" hidden="false" customHeight="false" outlineLevel="0" collapsed="false">
      <c r="D424" s="26"/>
      <c r="F424" s="26"/>
    </row>
    <row r="425" customFormat="false" ht="15" hidden="false" customHeight="false" outlineLevel="0" collapsed="false">
      <c r="D425" s="26"/>
      <c r="F425" s="26"/>
    </row>
    <row r="426" customFormat="false" ht="15" hidden="false" customHeight="false" outlineLevel="0" collapsed="false">
      <c r="D426" s="26"/>
      <c r="F426" s="26"/>
    </row>
    <row r="427" customFormat="false" ht="15" hidden="false" customHeight="false" outlineLevel="0" collapsed="false">
      <c r="D427" s="26"/>
      <c r="F427" s="26"/>
    </row>
    <row r="428" customFormat="false" ht="15" hidden="false" customHeight="false" outlineLevel="0" collapsed="false">
      <c r="D428" s="26"/>
      <c r="F428" s="26"/>
    </row>
    <row r="429" customFormat="false" ht="15" hidden="false" customHeight="false" outlineLevel="0" collapsed="false">
      <c r="D429" s="26"/>
      <c r="F429" s="26"/>
    </row>
    <row r="430" customFormat="false" ht="15" hidden="false" customHeight="false" outlineLevel="0" collapsed="false">
      <c r="D430" s="26"/>
      <c r="F430" s="26"/>
    </row>
    <row r="431" customFormat="false" ht="15" hidden="false" customHeight="false" outlineLevel="0" collapsed="false">
      <c r="D431" s="26"/>
      <c r="F431" s="26"/>
    </row>
    <row r="432" customFormat="false" ht="15" hidden="false" customHeight="false" outlineLevel="0" collapsed="false">
      <c r="D432" s="26"/>
      <c r="F432" s="26"/>
    </row>
    <row r="433" customFormat="false" ht="15" hidden="false" customHeight="false" outlineLevel="0" collapsed="false">
      <c r="D433" s="26"/>
      <c r="F433" s="26"/>
    </row>
    <row r="434" customFormat="false" ht="15" hidden="false" customHeight="false" outlineLevel="0" collapsed="false">
      <c r="D434" s="26"/>
      <c r="F434" s="26"/>
    </row>
    <row r="435" customFormat="false" ht="15" hidden="false" customHeight="false" outlineLevel="0" collapsed="false">
      <c r="D435" s="26"/>
      <c r="F435" s="26"/>
    </row>
    <row r="436" customFormat="false" ht="15" hidden="false" customHeight="false" outlineLevel="0" collapsed="false">
      <c r="D436" s="26"/>
      <c r="F436" s="26"/>
    </row>
    <row r="437" customFormat="false" ht="15" hidden="false" customHeight="false" outlineLevel="0" collapsed="false">
      <c r="D437" s="26"/>
      <c r="F437" s="26"/>
    </row>
    <row r="438" customFormat="false" ht="15" hidden="false" customHeight="false" outlineLevel="0" collapsed="false">
      <c r="D438" s="26"/>
      <c r="F438" s="26"/>
    </row>
    <row r="439" customFormat="false" ht="15" hidden="false" customHeight="false" outlineLevel="0" collapsed="false">
      <c r="D439" s="26"/>
      <c r="F439" s="26"/>
    </row>
    <row r="440" customFormat="false" ht="15" hidden="false" customHeight="false" outlineLevel="0" collapsed="false">
      <c r="D440" s="26"/>
      <c r="F440" s="26"/>
    </row>
    <row r="441" customFormat="false" ht="15" hidden="false" customHeight="false" outlineLevel="0" collapsed="false">
      <c r="D441" s="26"/>
      <c r="F441" s="26"/>
    </row>
    <row r="442" customFormat="false" ht="15" hidden="false" customHeight="false" outlineLevel="0" collapsed="false">
      <c r="D442" s="26"/>
      <c r="F442" s="26"/>
    </row>
    <row r="443" customFormat="false" ht="15" hidden="false" customHeight="false" outlineLevel="0" collapsed="false">
      <c r="D443" s="26"/>
      <c r="F443" s="26"/>
    </row>
    <row r="444" customFormat="false" ht="15" hidden="false" customHeight="false" outlineLevel="0" collapsed="false">
      <c r="D444" s="26"/>
      <c r="F444" s="26"/>
    </row>
    <row r="445" customFormat="false" ht="15" hidden="false" customHeight="false" outlineLevel="0" collapsed="false">
      <c r="D445" s="26"/>
      <c r="F445" s="26"/>
    </row>
    <row r="446" customFormat="false" ht="15" hidden="false" customHeight="false" outlineLevel="0" collapsed="false">
      <c r="D446" s="26"/>
      <c r="F446" s="26"/>
    </row>
    <row r="447" customFormat="false" ht="15" hidden="false" customHeight="false" outlineLevel="0" collapsed="false">
      <c r="D447" s="26"/>
      <c r="F447" s="26"/>
    </row>
    <row r="448" customFormat="false" ht="15" hidden="false" customHeight="false" outlineLevel="0" collapsed="false">
      <c r="D448" s="26"/>
      <c r="F448" s="26"/>
    </row>
    <row r="449" customFormat="false" ht="15" hidden="false" customHeight="false" outlineLevel="0" collapsed="false">
      <c r="D449" s="26"/>
      <c r="F449" s="26"/>
    </row>
    <row r="450" customFormat="false" ht="15" hidden="false" customHeight="false" outlineLevel="0" collapsed="false">
      <c r="D450" s="26"/>
      <c r="F450" s="26"/>
    </row>
    <row r="451" customFormat="false" ht="15" hidden="false" customHeight="false" outlineLevel="0" collapsed="false">
      <c r="D451" s="26"/>
      <c r="F451" s="26"/>
    </row>
    <row r="452" customFormat="false" ht="15" hidden="false" customHeight="false" outlineLevel="0" collapsed="false">
      <c r="D452" s="26"/>
      <c r="F452" s="26"/>
    </row>
    <row r="453" customFormat="false" ht="15" hidden="false" customHeight="false" outlineLevel="0" collapsed="false">
      <c r="D453" s="26"/>
      <c r="F453" s="26"/>
    </row>
    <row r="454" customFormat="false" ht="15" hidden="false" customHeight="false" outlineLevel="0" collapsed="false">
      <c r="D454" s="26"/>
      <c r="F454" s="26"/>
    </row>
    <row r="455" customFormat="false" ht="15" hidden="false" customHeight="false" outlineLevel="0" collapsed="false">
      <c r="D455" s="26"/>
      <c r="F455" s="26"/>
    </row>
    <row r="456" customFormat="false" ht="15" hidden="false" customHeight="false" outlineLevel="0" collapsed="false">
      <c r="D456" s="26"/>
      <c r="F456" s="26"/>
    </row>
    <row r="457" customFormat="false" ht="15" hidden="false" customHeight="false" outlineLevel="0" collapsed="false">
      <c r="D457" s="26"/>
      <c r="F457" s="26"/>
    </row>
    <row r="458" customFormat="false" ht="15" hidden="false" customHeight="false" outlineLevel="0" collapsed="false">
      <c r="D458" s="26"/>
      <c r="F458" s="26"/>
    </row>
    <row r="459" customFormat="false" ht="15" hidden="false" customHeight="false" outlineLevel="0" collapsed="false">
      <c r="D459" s="26"/>
      <c r="F459" s="26"/>
    </row>
    <row r="460" customFormat="false" ht="15" hidden="false" customHeight="false" outlineLevel="0" collapsed="false">
      <c r="D460" s="26"/>
      <c r="F460" s="26"/>
    </row>
    <row r="461" customFormat="false" ht="15" hidden="false" customHeight="false" outlineLevel="0" collapsed="false">
      <c r="D461" s="26"/>
      <c r="F461" s="26"/>
    </row>
    <row r="462" customFormat="false" ht="15" hidden="false" customHeight="false" outlineLevel="0" collapsed="false">
      <c r="D462" s="26"/>
      <c r="F462" s="26"/>
    </row>
    <row r="463" customFormat="false" ht="15" hidden="false" customHeight="false" outlineLevel="0" collapsed="false">
      <c r="D463" s="26"/>
      <c r="F463" s="26"/>
    </row>
    <row r="464" customFormat="false" ht="15" hidden="false" customHeight="false" outlineLevel="0" collapsed="false">
      <c r="D464" s="26"/>
      <c r="F464" s="26"/>
    </row>
    <row r="465" customFormat="false" ht="15" hidden="false" customHeight="false" outlineLevel="0" collapsed="false">
      <c r="D465" s="26"/>
      <c r="F465" s="26"/>
    </row>
    <row r="466" customFormat="false" ht="15" hidden="false" customHeight="false" outlineLevel="0" collapsed="false">
      <c r="D466" s="26"/>
      <c r="F466" s="26"/>
    </row>
    <row r="467" customFormat="false" ht="15" hidden="false" customHeight="false" outlineLevel="0" collapsed="false">
      <c r="D467" s="26"/>
      <c r="F467" s="26"/>
    </row>
    <row r="468" customFormat="false" ht="15" hidden="false" customHeight="false" outlineLevel="0" collapsed="false">
      <c r="D468" s="26"/>
      <c r="F468" s="26"/>
    </row>
    <row r="469" customFormat="false" ht="15" hidden="false" customHeight="false" outlineLevel="0" collapsed="false">
      <c r="D469" s="26"/>
      <c r="F469" s="26"/>
    </row>
    <row r="470" customFormat="false" ht="15" hidden="false" customHeight="false" outlineLevel="0" collapsed="false">
      <c r="D470" s="26"/>
      <c r="F470" s="26"/>
    </row>
    <row r="471" customFormat="false" ht="15" hidden="false" customHeight="false" outlineLevel="0" collapsed="false">
      <c r="D471" s="26"/>
      <c r="F471" s="26"/>
    </row>
    <row r="472" customFormat="false" ht="15" hidden="false" customHeight="false" outlineLevel="0" collapsed="false">
      <c r="D472" s="26"/>
      <c r="F472" s="26"/>
    </row>
    <row r="473" customFormat="false" ht="15" hidden="false" customHeight="false" outlineLevel="0" collapsed="false">
      <c r="D473" s="26"/>
      <c r="F473" s="26"/>
    </row>
    <row r="474" customFormat="false" ht="15" hidden="false" customHeight="false" outlineLevel="0" collapsed="false">
      <c r="D474" s="26"/>
      <c r="F474" s="26"/>
    </row>
    <row r="475" customFormat="false" ht="15" hidden="false" customHeight="false" outlineLevel="0" collapsed="false">
      <c r="D475" s="26"/>
      <c r="F475" s="26"/>
    </row>
    <row r="476" customFormat="false" ht="15" hidden="false" customHeight="false" outlineLevel="0" collapsed="false">
      <c r="D476" s="26"/>
      <c r="F476" s="26"/>
    </row>
    <row r="477" customFormat="false" ht="15" hidden="false" customHeight="false" outlineLevel="0" collapsed="false">
      <c r="D477" s="26"/>
      <c r="F477" s="26"/>
    </row>
    <row r="478" customFormat="false" ht="15" hidden="false" customHeight="false" outlineLevel="0" collapsed="false">
      <c r="D478" s="26"/>
      <c r="F478" s="26"/>
    </row>
    <row r="479" customFormat="false" ht="15" hidden="false" customHeight="false" outlineLevel="0" collapsed="false">
      <c r="D479" s="26"/>
      <c r="F479" s="26"/>
    </row>
    <row r="480" customFormat="false" ht="15" hidden="false" customHeight="false" outlineLevel="0" collapsed="false">
      <c r="D480" s="26"/>
      <c r="F480" s="26"/>
    </row>
    <row r="481" customFormat="false" ht="15" hidden="false" customHeight="false" outlineLevel="0" collapsed="false">
      <c r="D481" s="26"/>
      <c r="F481" s="26"/>
    </row>
    <row r="482" customFormat="false" ht="15" hidden="false" customHeight="false" outlineLevel="0" collapsed="false">
      <c r="D482" s="26"/>
      <c r="F482" s="26"/>
    </row>
    <row r="483" customFormat="false" ht="15" hidden="false" customHeight="false" outlineLevel="0" collapsed="false">
      <c r="D483" s="26"/>
      <c r="F483" s="26"/>
    </row>
    <row r="484" customFormat="false" ht="15" hidden="false" customHeight="false" outlineLevel="0" collapsed="false">
      <c r="D484" s="26"/>
      <c r="F484" s="26"/>
    </row>
    <row r="485" customFormat="false" ht="15" hidden="false" customHeight="false" outlineLevel="0" collapsed="false">
      <c r="D485" s="26"/>
      <c r="F485" s="26"/>
    </row>
    <row r="486" customFormat="false" ht="15" hidden="false" customHeight="false" outlineLevel="0" collapsed="false">
      <c r="D486" s="26"/>
      <c r="F486" s="26"/>
    </row>
    <row r="487" customFormat="false" ht="15" hidden="false" customHeight="false" outlineLevel="0" collapsed="false">
      <c r="D487" s="26"/>
      <c r="F487" s="26"/>
    </row>
    <row r="488" customFormat="false" ht="15" hidden="false" customHeight="false" outlineLevel="0" collapsed="false">
      <c r="D488" s="26"/>
      <c r="F488" s="26"/>
    </row>
    <row r="489" customFormat="false" ht="15" hidden="false" customHeight="false" outlineLevel="0" collapsed="false">
      <c r="D489" s="26"/>
      <c r="F489" s="26"/>
    </row>
    <row r="490" customFormat="false" ht="15" hidden="false" customHeight="false" outlineLevel="0" collapsed="false">
      <c r="D490" s="26"/>
      <c r="F490" s="26"/>
    </row>
    <row r="491" customFormat="false" ht="15" hidden="false" customHeight="false" outlineLevel="0" collapsed="false">
      <c r="D491" s="26"/>
      <c r="F491" s="26"/>
    </row>
    <row r="492" customFormat="false" ht="15" hidden="false" customHeight="false" outlineLevel="0" collapsed="false">
      <c r="D492" s="26"/>
      <c r="F492" s="26"/>
    </row>
    <row r="493" customFormat="false" ht="15" hidden="false" customHeight="false" outlineLevel="0" collapsed="false">
      <c r="D493" s="26"/>
      <c r="F493" s="26"/>
    </row>
    <row r="494" customFormat="false" ht="15" hidden="false" customHeight="false" outlineLevel="0" collapsed="false">
      <c r="D494" s="26"/>
      <c r="F494" s="26"/>
    </row>
    <row r="495" customFormat="false" ht="15" hidden="false" customHeight="false" outlineLevel="0" collapsed="false">
      <c r="D495" s="26"/>
      <c r="F495" s="26"/>
    </row>
    <row r="496" customFormat="false" ht="15" hidden="false" customHeight="false" outlineLevel="0" collapsed="false">
      <c r="D496" s="26"/>
      <c r="F496" s="26"/>
    </row>
    <row r="497" customFormat="false" ht="15" hidden="false" customHeight="false" outlineLevel="0" collapsed="false">
      <c r="D497" s="26"/>
      <c r="F497" s="26"/>
    </row>
    <row r="498" customFormat="false" ht="15" hidden="false" customHeight="false" outlineLevel="0" collapsed="false">
      <c r="D498" s="26"/>
      <c r="F498" s="26"/>
    </row>
    <row r="499" customFormat="false" ht="15" hidden="false" customHeight="false" outlineLevel="0" collapsed="false">
      <c r="D499" s="26"/>
      <c r="F499" s="26"/>
    </row>
    <row r="500" customFormat="false" ht="15" hidden="false" customHeight="false" outlineLevel="0" collapsed="false">
      <c r="D500" s="26"/>
      <c r="F500" s="26"/>
    </row>
  </sheetData>
  <autoFilter ref="A1:G2"/>
  <conditionalFormatting sqref="A2:G500">
    <cfRule type="expression" priority="2" aboveAverage="0" equalAverage="0" bottom="0" percent="0" rank="0" text="" dxfId="11">
      <formula>AND($E2&lt;TODAY(),$E2&lt;&gt;"",NOT(OR($F2="Done",$F2="Live")))</formula>
    </cfRule>
    <cfRule type="expression" priority="3" aboveAverage="0" equalAverage="0" bottom="0" percent="0" rank="0" text="" dxfId="16">
      <formula>OR($F2="Done",$F2="Live")</formula>
    </cfRule>
  </conditionalFormatting>
  <conditionalFormatting sqref="C2:C500">
    <cfRule type="expression" priority="4" aboveAverage="0" equalAverage="0" bottom="0" percent="0" rank="0" text="" dxfId="17">
      <formula>EXACT($C2,"P0 — Critical")</formula>
    </cfRule>
    <cfRule type="expression" priority="5" aboveAverage="0" equalAverage="0" bottom="0" percent="0" rank="0" text="" dxfId="18">
      <formula>EXACT($C2,"P1 — High")</formula>
    </cfRule>
  </conditionalFormatting>
  <dataValidations count="3">
    <dataValidation allowBlank="true" errorStyle="stop" operator="between" showDropDown="false" showErrorMessage="false" showInputMessage="false" sqref="C2:C500" type="list">
      <formula1>Lookups!$C$4:$C$7</formula1>
      <formula2>0</formula2>
    </dataValidation>
    <dataValidation allowBlank="true" errorStyle="stop" operator="between" showDropDown="false" showErrorMessage="false" showInputMessage="false" sqref="F2:F500" type="list">
      <formula1>Lookups!$D$4:$D$8</formula1>
      <formula2>0</formula2>
    </dataValidation>
    <dataValidation allowBlank="true" errorStyle="stop" operator="between" showDropDown="false" showErrorMessage="false" showInputMessage="false" sqref="D2:D500" type="list">
      <formula1>Lookups!$E$4:$E$8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2026-05-16T05:28:14Z</dcterms:created>
  <dc:creator>openpyxl</dc:creator>
  <dc:description/>
  <dc:language>en-US</dc:language>
  <cp:lastModifiedBy/>
  <dcterms:modified xsi:type="dcterms:W3CDTF">2026-05-16T05:57:48Z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